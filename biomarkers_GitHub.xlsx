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roseguo/Desktop/"/>
    </mc:Choice>
  </mc:AlternateContent>
  <xr:revisionPtr revIDLastSave="0" documentId="13_ncr:20001_{77546522-7E4E-D244-9774-F2C9E646DA70}" xr6:coauthVersionLast="47" xr6:coauthVersionMax="47" xr10:uidLastSave="{00000000-0000-0000-0000-000000000000}"/>
  <bookViews>
    <workbookView xWindow="0" yWindow="700" windowWidth="27040" windowHeight="16860" firstSheet="5" activeTab="11" xr2:uid="{00000000-000D-0000-FFFF-FFFF00000000}"/>
  </bookViews>
  <sheets>
    <sheet name="GSTM1_SPMA" sheetId="1" r:id="rId1"/>
    <sheet name="GSTM1_ttMA" sheetId="2" r:id="rId2"/>
    <sheet name="GSTT1_SPMA" sheetId="3" r:id="rId3"/>
    <sheet name="GSTT1_ttMA" sheetId="4" r:id="rId4"/>
    <sheet name="GSTP1_SPMA_homo" sheetId="5" r:id="rId5"/>
    <sheet name="GSTP1_SPMA_heter" sheetId="7" r:id="rId6"/>
    <sheet name="GSTP1_SPMA_dominant" sheetId="8" r:id="rId7"/>
    <sheet name="GSTP1_SPMA_recessive" sheetId="9" r:id="rId8"/>
    <sheet name="GSTP1_ttMA_homo" sheetId="10" r:id="rId9"/>
    <sheet name="GSTP1_ttMA_heter" sheetId="11" r:id="rId10"/>
    <sheet name="GSTP1_ttMA_dominant" sheetId="12" r:id="rId11"/>
    <sheet name="GSTP1_ttMA_recessive" sheetId="13" r:id="rId12"/>
  </sheets>
  <definedNames>
    <definedName name="_xlnm._FilterDatabase" localSheetId="6" hidden="1">GSTP1_SPMA_dominant!$A$1:$S$5</definedName>
    <definedName name="_xlnm._FilterDatabase" localSheetId="5" hidden="1">GSTP1_SPMA_heter!$A$1:$R$6</definedName>
    <definedName name="_xlnm._FilterDatabase" localSheetId="4" hidden="1">GSTP1_SPMA_homo!$A$1:$R$5</definedName>
    <definedName name="_xlnm._FilterDatabase" localSheetId="7" hidden="1">GSTP1_SPMA_recessive!$A$1:$S$5</definedName>
    <definedName name="_xlnm._FilterDatabase" localSheetId="10" hidden="1">GSTP1_ttMA_dominant!$A$1:$R$5</definedName>
    <definedName name="_xlnm._FilterDatabase" localSheetId="9" hidden="1">GSTP1_ttMA_heter!$A$1:$R$6</definedName>
    <definedName name="_xlnm._FilterDatabase" localSheetId="8" hidden="1">GSTP1_ttMA_homo!$A$1:$S$5</definedName>
    <definedName name="_xlnm._FilterDatabase" localSheetId="11" hidden="1">GSTP1_ttMA_recessive!$A$1:$R$5</definedName>
  </definedNames>
  <calcPr calcId="0"/>
  <fileRecoveryPr repairLoad="1"/>
</workbook>
</file>

<file path=xl/sharedStrings.xml><?xml version="1.0" encoding="utf-8"?>
<sst xmlns="http://schemas.openxmlformats.org/spreadsheetml/2006/main" count="810" uniqueCount="98">
  <si>
    <t>author</t>
  </si>
  <si>
    <t>year</t>
  </si>
  <si>
    <t>country</t>
  </si>
  <si>
    <t>region</t>
  </si>
  <si>
    <t>ethnicity</t>
  </si>
  <si>
    <t>method</t>
  </si>
  <si>
    <t>source</t>
  </si>
  <si>
    <t>stratum</t>
  </si>
  <si>
    <t>unit</t>
  </si>
  <si>
    <t>analysis_flag</t>
  </si>
  <si>
    <t>model</t>
  </si>
  <si>
    <t>comparison</t>
  </si>
  <si>
    <t>n1</t>
  </si>
  <si>
    <t>mean1</t>
  </si>
  <si>
    <t>sd1</t>
  </si>
  <si>
    <t>n0</t>
  </si>
  <si>
    <t>mean0</t>
  </si>
  <si>
    <t>sd0</t>
  </si>
  <si>
    <t>Sørensen</t>
  </si>
  <si>
    <t>Denmark</t>
  </si>
  <si>
    <t>Europe</t>
  </si>
  <si>
    <t>NR</t>
  </si>
  <si>
    <t>GC-MS</t>
  </si>
  <si>
    <t>Urban volunteers; ambient benzene</t>
  </si>
  <si>
    <t>All subjects</t>
  </si>
  <si>
    <t>µg/24 h</t>
  </si>
  <si>
    <t>Main</t>
  </si>
  <si>
    <t>Homo</t>
  </si>
  <si>
    <t>Val/Val vs Ile/Ile</t>
  </si>
  <si>
    <t>Lin</t>
  </si>
  <si>
    <t>Taiwan, China</t>
  </si>
  <si>
    <t>Asia</t>
  </si>
  <si>
    <t>Taiwanese Chinese</t>
  </si>
  <si>
    <t>Electrospray ionization tandem MS</t>
  </si>
  <si>
    <t>Male chemical-factory workers; smokers excluded</t>
  </si>
  <si>
    <t>High (&gt;=1 ppm)</t>
  </si>
  <si>
    <t>µg/g creatinine</t>
  </si>
  <si>
    <t>Mansi</t>
  </si>
  <si>
    <t>Italy</t>
  </si>
  <si>
    <t>SPE-HPLC-MS/MS</t>
  </si>
  <si>
    <t>Petrochemical workers; very low occupational benzene</t>
  </si>
  <si>
    <t>Non-smokers</t>
  </si>
  <si>
    <t>Alternative_stratified</t>
  </si>
  <si>
    <t>Smokers</t>
  </si>
  <si>
    <t>Author</t>
  </si>
  <si>
    <t>Year</t>
  </si>
  <si>
    <t>Country</t>
  </si>
  <si>
    <t>Region</t>
  </si>
  <si>
    <t>Ethnicity</t>
  </si>
  <si>
    <t>Method</t>
  </si>
  <si>
    <t>Source</t>
  </si>
  <si>
    <t>Type</t>
  </si>
  <si>
    <t>Quality</t>
  </si>
  <si>
    <t>n_Positive</t>
  </si>
  <si>
    <t>Mean_Positive</t>
  </si>
  <si>
    <t>SD_Positive</t>
  </si>
  <si>
    <t>n_Null</t>
  </si>
  <si>
    <t>Mean_Null</t>
  </si>
  <si>
    <t>SD_Null</t>
  </si>
  <si>
    <t>单位</t>
  </si>
  <si>
    <t>Urban volunteers; ambient benzene; Ambient urban benzene</t>
  </si>
  <si>
    <t>Mean±SD</t>
  </si>
  <si>
    <t>Male chemical-factory workers; smokers excluded; Low (&lt;1 ppm); Smokers excluded</t>
  </si>
  <si>
    <t>Male chemical-factory workers; smokers excluded; High (≥1 ppm); Smokers excluded</t>
  </si>
  <si>
    <t>Mansi (non-smokers)</t>
  </si>
  <si>
    <t>Petrochemical workers; Very low occupational benzene</t>
  </si>
  <si>
    <t>Mansi (smokers)</t>
  </si>
  <si>
    <t>HPLC-MS/MS</t>
  </si>
  <si>
    <t>Avogbe</t>
  </si>
  <si>
    <t>Benin</t>
  </si>
  <si>
    <t>Africa</t>
  </si>
  <si>
    <t>Beninese/NR</t>
  </si>
  <si>
    <t>Non-smokers in different urban/rural exposure groups; Taxi-moto drivers; Non-smokers</t>
  </si>
  <si>
    <t>Non-smokers in different urban/rural exposure groups; Roadside; Non-smokers</t>
  </si>
  <si>
    <t>Non-smokers in different urban/rural exposure groups; Suburban; Non-smokers</t>
  </si>
  <si>
    <t>Non-smokers in different urban/rural exposure groups; Rural; Non-smokers</t>
  </si>
  <si>
    <t>Chanvaivit</t>
  </si>
  <si>
    <t>Thailand</t>
  </si>
  <si>
    <t>Thai</t>
  </si>
  <si>
    <t>HPLC-UV</t>
  </si>
  <si>
    <t>Control, laboratory and gasoline-service workers; Control workers</t>
  </si>
  <si>
    <t>Mean±SE; converted to SD</t>
  </si>
  <si>
    <t>mg/g creatinine</t>
  </si>
  <si>
    <t>Control, laboratory and gasoline-service workers; Laboratory workers</t>
  </si>
  <si>
    <t>Control, laboratory and gasoline-service workers; Gasoline service attendants</t>
  </si>
  <si>
    <t>Heter</t>
  </si>
  <si>
    <t>Ile/Val vs Ile/Ile</t>
  </si>
  <si>
    <t>Low (&lt;1 ppm)</t>
  </si>
  <si>
    <t>notes</t>
  </si>
  <si>
    <t>Dominant</t>
  </si>
  <si>
    <t>Ile/Val + Val/Val vs Ile/Ile</t>
  </si>
  <si>
    <t>Stratified subgroup.</t>
  </si>
  <si>
    <t>Mansi smoking stratum; do not include together with Mansi All subjects in the same meta-analysis.</t>
  </si>
  <si>
    <t>Recessive</t>
  </si>
  <si>
    <t>Val/Val vs Ile/Ile + Ile/Val</t>
  </si>
  <si>
    <t>Taiwan, China</t>
    <phoneticPr fontId="5" type="noConversion"/>
  </si>
  <si>
    <t>Asia</t>
    <phoneticPr fontId="5" type="noConversion"/>
  </si>
  <si>
    <t>Taiwanese Chinese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</si>
</sst>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0"/>
  </numFmts>
  <fonts count="11">
    <font>
      <sz val="11"/>
      <name val="Carlito"/>
      <charset val="134"/>
    </font>
    <font>
      <b/>
      <sz val="11"/>
      <color rgb="FF4472C4"/>
      <name val="Calibri"/>
      <family val="2"/>
    </font>
    <font>
      <sz val="10"/>
      <name val="Calibri"/>
      <family val="2"/>
    </font>
    <font>
      <sz val="11"/>
      <name val="Carlito"/>
      <charset val="134"/>
    </font>
    <font>
      <sz val="10"/>
      <color theme="1"/>
      <name val="Calibri"/>
      <family val="2"/>
    </font>
    <font>
      <sz val="9"/>
      <name val="Carlito"/>
      <charset val="134"/>
    </font>
    <font>
      <sz val="11"/>
      <name val="Times New Roman"/>
      <family val="1"/>
    </font>
    <font>
      <b/>
      <sz val="11"/>
      <color rgb="FF4472C4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21">
    <xf numFmtId="0" fontId="0" fillId="0" borderId="0" xfId="0" applyAlignment="1"/>
    <xf numFmtId="0" fontId="1" fillId="0" borderId="0" xfId="1" applyFont="1" applyAlignment="1">
      <alignment horizontal="center" vertical="center" wrapText="1"/>
    </xf>
    <xf numFmtId="0" fontId="2" fillId="0" borderId="0" xfId="1" applyFont="1" applyAlignment="1">
      <alignment vertical="top" wrapText="1"/>
    </xf>
    <xf numFmtId="1" fontId="2" fillId="0" borderId="0" xfId="1" applyNumberFormat="1" applyFont="1" applyAlignment="1">
      <alignment vertical="top" wrapText="1"/>
    </xf>
    <xf numFmtId="0" fontId="2" fillId="0" borderId="0" xfId="0" applyFont="1" applyAlignment="1">
      <alignment horizontal="center" vertical="top" wrapText="1"/>
    </xf>
    <xf numFmtId="176" fontId="2" fillId="0" borderId="0" xfId="1" applyNumberFormat="1" applyFont="1" applyAlignment="1">
      <alignment vertical="top" wrapText="1"/>
    </xf>
    <xf numFmtId="1" fontId="4" fillId="0" borderId="0" xfId="1" applyNumberFormat="1" applyFont="1" applyAlignment="1">
      <alignment vertical="top" wrapText="1"/>
    </xf>
    <xf numFmtId="176" fontId="4" fillId="0" borderId="0" xfId="1" applyNumberFormat="1" applyFont="1" applyAlignment="1">
      <alignment vertical="top" wrapText="1"/>
    </xf>
    <xf numFmtId="0" fontId="6" fillId="0" borderId="0" xfId="0" applyFont="1" applyAlignment="1"/>
    <xf numFmtId="0" fontId="7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vertical="top" wrapText="1"/>
    </xf>
    <xf numFmtId="1" fontId="8" fillId="0" borderId="0" xfId="0" applyNumberFormat="1" applyFont="1" applyFill="1" applyAlignment="1">
      <alignment vertical="top" wrapText="1"/>
    </xf>
    <xf numFmtId="176" fontId="8" fillId="0" borderId="0" xfId="0" applyNumberFormat="1" applyFont="1" applyFill="1" applyAlignment="1">
      <alignment vertical="top" wrapText="1"/>
    </xf>
    <xf numFmtId="0" fontId="8" fillId="0" borderId="0" xfId="0" applyFont="1" applyAlignment="1"/>
    <xf numFmtId="0" fontId="7" fillId="0" borderId="0" xfId="1" applyFont="1" applyAlignment="1">
      <alignment horizontal="center" vertical="center" wrapText="1"/>
    </xf>
    <xf numFmtId="0" fontId="9" fillId="0" borderId="0" xfId="1" applyFont="1" applyAlignment="1">
      <alignment vertical="top" wrapText="1"/>
    </xf>
    <xf numFmtId="1" fontId="9" fillId="0" borderId="0" xfId="1" applyNumberFormat="1" applyFont="1" applyAlignment="1">
      <alignment vertical="top" wrapText="1"/>
    </xf>
    <xf numFmtId="0" fontId="9" fillId="0" borderId="0" xfId="0" applyFont="1" applyAlignment="1">
      <alignment horizontal="center" vertical="top" wrapText="1"/>
    </xf>
    <xf numFmtId="176" fontId="9" fillId="0" borderId="0" xfId="1" applyNumberFormat="1" applyFont="1" applyAlignment="1">
      <alignment vertical="top" wrapText="1"/>
    </xf>
    <xf numFmtId="1" fontId="10" fillId="0" borderId="0" xfId="1" applyNumberFormat="1" applyFont="1" applyAlignment="1">
      <alignment vertical="top" wrapText="1"/>
    </xf>
    <xf numFmtId="176" fontId="10" fillId="0" borderId="0" xfId="1" applyNumberFormat="1" applyFont="1" applyAlignment="1">
      <alignment vertical="top" wrapText="1"/>
    </xf>
  </cellXfs>
  <cellStyles count="2">
    <cellStyle name="Normal" xfId="1" xr:uid="{00000000-0005-0000-0000-000001000000}"/>
    <cellStyle name="常规" xfId="0" builtinId="0"/>
  </cellStyles>
  <dxfs count="95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color rgb="FFC00000"/>
      </font>
      <fill>
        <patternFill patternType="solid">
          <bgColor rgb="FFFCE4D6"/>
        </patternFill>
      </fill>
    </dxf>
    <dxf>
      <font>
        <color rgb="FF375623"/>
      </font>
      <fill>
        <patternFill patternType="solid">
          <bgColor rgb="FFE2F0D9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color rgb="FFC00000"/>
      </font>
      <fill>
        <patternFill patternType="solid">
          <bgColor rgb="FFFCE4D6"/>
        </patternFill>
      </fill>
    </dxf>
    <dxf>
      <font>
        <color rgb="FF375623"/>
      </font>
      <fill>
        <patternFill patternType="solid">
          <bgColor rgb="FFE2F0D9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color rgb="FFC00000"/>
      </font>
      <fill>
        <patternFill patternType="solid">
          <bgColor rgb="FFFCE4D6"/>
        </patternFill>
      </fill>
    </dxf>
    <dxf>
      <font>
        <color rgb="FF375623"/>
      </font>
      <fill>
        <patternFill patternType="solid">
          <bgColor rgb="FFE2F0D9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color rgb="FFC00000"/>
      </font>
      <fill>
        <patternFill patternType="solid">
          <bgColor rgb="FFFCE4D6"/>
        </patternFill>
      </fill>
    </dxf>
    <dxf>
      <font>
        <color rgb="FF375623"/>
      </font>
      <fill>
        <patternFill patternType="solid">
          <bgColor rgb="FFE2F0D9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/>
        <color theme="1"/>
      </font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3" defaultTableStyle="TableStylePreset3_Accent1" defaultPivotStyle="PivotStylePreset2_Accent1">
    <tableStyle name="TableStylePreset3_Accent1" pivot="0" count="7" xr9:uid="{00000000-0011-0000-FFFF-FFFF00000000}">
      <tableStyleElement type="wholeTable" dxfId="94"/>
      <tableStyleElement type="headerRow" dxfId="93"/>
      <tableStyleElement type="totalRow" dxfId="92"/>
      <tableStyleElement type="firstColumn" dxfId="91"/>
      <tableStyleElement type="lastColumn" dxfId="90"/>
      <tableStyleElement type="firstRowStripe" dxfId="89"/>
      <tableStyleElement type="firstColumnStripe" dxfId="88"/>
    </tableStyle>
    <tableStyle name="TableStylePreset8_Accent1" pivot="0" count="9" xr9:uid="{00000000-0011-0000-FFFF-FFFF01000000}">
      <tableStyleElement type="wholeTable" dxfId="87"/>
      <tableStyleElement type="headerRow" dxfId="86"/>
      <tableStyleElement type="totalRow" dxfId="85"/>
      <tableStyleElement type="firstColumn" dxfId="84"/>
      <tableStyleElement type="lastColumn" dxfId="83"/>
      <tableStyleElement type="firstRowStripe" dxfId="82"/>
      <tableStyleElement type="secondRowStripe" dxfId="81"/>
      <tableStyleElement type="firstColumnStripe" dxfId="80"/>
      <tableStyleElement type="secondColumnStripe" dxfId="79"/>
    </tableStyle>
    <tableStyle name="PivotStylePreset2_Accent1" table="0" count="10" xr9:uid="{00000000-0011-0000-FFFF-FFFF02000000}">
      <tableStyleElement type="headerRow" dxfId="78"/>
      <tableStyleElement type="totalRow" dxfId="77"/>
      <tableStyleElement type="firstRowStripe" dxfId="76"/>
      <tableStyleElement type="firstColumnStripe" dxfId="75"/>
      <tableStyleElement type="firstSubtotalRow" dxfId="74"/>
      <tableStyleElement type="secondSubtotalRow" dxfId="73"/>
      <tableStyleElement type="firstRowSubheading" dxfId="72"/>
      <tableStyleElement type="secondRowSubheading" dxfId="71"/>
      <tableStyleElement type="pageFieldLabels" dxfId="70"/>
      <tableStyleElement type="pageFieldValues" dxfId="6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STM1_SPMATable" displayName="GSTM1_SPMATable" ref="A1:P6" dataDxfId="52">
  <tableColumns count="16">
    <tableColumn id="1" xr3:uid="{00000000-0010-0000-0000-000001000000}" name="Author" dataDxfId="68"/>
    <tableColumn id="2" xr3:uid="{00000000-0010-0000-0000-000002000000}" name="Year" dataDxfId="67"/>
    <tableColumn id="3" xr3:uid="{00000000-0010-0000-0000-000003000000}" name="Country" dataDxfId="66"/>
    <tableColumn id="4" xr3:uid="{00000000-0010-0000-0000-000004000000}" name="Region" dataDxfId="65"/>
    <tableColumn id="5" xr3:uid="{00000000-0010-0000-0000-000005000000}" name="Ethnicity" dataDxfId="64"/>
    <tableColumn id="6" xr3:uid="{00000000-0010-0000-0000-000006000000}" name="Method" dataDxfId="63"/>
    <tableColumn id="7" xr3:uid="{00000000-0010-0000-0000-000007000000}" name="Source" dataDxfId="62"/>
    <tableColumn id="8" xr3:uid="{00000000-0010-0000-0000-000008000000}" name="Type" dataDxfId="61"/>
    <tableColumn id="9" xr3:uid="{00000000-0010-0000-0000-000009000000}" name="Quality" dataDxfId="60"/>
    <tableColumn id="10" xr3:uid="{00000000-0010-0000-0000-00000A000000}" name="n_Positive" dataDxfId="59"/>
    <tableColumn id="11" xr3:uid="{00000000-0010-0000-0000-00000B000000}" name="Mean_Positive" dataDxfId="58"/>
    <tableColumn id="12" xr3:uid="{00000000-0010-0000-0000-00000C000000}" name="SD_Positive" dataDxfId="57"/>
    <tableColumn id="13" xr3:uid="{00000000-0010-0000-0000-00000D000000}" name="n_Null" dataDxfId="56"/>
    <tableColumn id="14" xr3:uid="{00000000-0010-0000-0000-00000E000000}" name="Mean_Null" dataDxfId="55"/>
    <tableColumn id="15" xr3:uid="{00000000-0010-0000-0000-00000F000000}" name="SD_Null" dataDxfId="54"/>
    <tableColumn id="16" xr3:uid="{00000000-0010-0000-0000-000010000000}" name="单位" dataDxfId="53"/>
  </tableColumns>
  <tableStyleInfo showFirstColumn="1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GSTM1_ttMATable" displayName="GSTM1_ttMATable" ref="A1:P6" headerRowDxfId="35" dataDxfId="33" totalsRowDxfId="34">
  <tableColumns count="16">
    <tableColumn id="1" xr3:uid="{00000000-0010-0000-0100-000001000000}" name="Author" dataDxfId="51"/>
    <tableColumn id="2" xr3:uid="{00000000-0010-0000-0100-000002000000}" name="Year" dataDxfId="50"/>
    <tableColumn id="3" xr3:uid="{00000000-0010-0000-0100-000003000000}" name="Country" dataDxfId="49"/>
    <tableColumn id="4" xr3:uid="{00000000-0010-0000-0100-000004000000}" name="Region" dataDxfId="48"/>
    <tableColumn id="5" xr3:uid="{00000000-0010-0000-0100-000005000000}" name="Ethnicity" dataDxfId="47"/>
    <tableColumn id="6" xr3:uid="{00000000-0010-0000-0100-000006000000}" name="Method" dataDxfId="46"/>
    <tableColumn id="7" xr3:uid="{00000000-0010-0000-0100-000007000000}" name="Source" dataDxfId="45"/>
    <tableColumn id="8" xr3:uid="{00000000-0010-0000-0100-000008000000}" name="Type" dataDxfId="44"/>
    <tableColumn id="9" xr3:uid="{00000000-0010-0000-0100-000009000000}" name="Quality" dataDxfId="43"/>
    <tableColumn id="10" xr3:uid="{00000000-0010-0000-0100-00000A000000}" name="n_Positive" dataDxfId="42"/>
    <tableColumn id="11" xr3:uid="{00000000-0010-0000-0100-00000B000000}" name="Mean_Positive" dataDxfId="41"/>
    <tableColumn id="12" xr3:uid="{00000000-0010-0000-0100-00000C000000}" name="SD_Positive" dataDxfId="40"/>
    <tableColumn id="13" xr3:uid="{00000000-0010-0000-0100-00000D000000}" name="n_Null" dataDxfId="39"/>
    <tableColumn id="14" xr3:uid="{00000000-0010-0000-0100-00000E000000}" name="Mean_Null" dataDxfId="38"/>
    <tableColumn id="15" xr3:uid="{00000000-0010-0000-0100-00000F000000}" name="SD_Null" dataDxfId="37"/>
    <tableColumn id="16" xr3:uid="{00000000-0010-0000-0100-000010000000}" name="单位" dataDxfId="36"/>
  </tableColumns>
  <tableStyleInfo showFirstColumn="1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GSTT1_SPMATable" displayName="GSTT1_SPMATable" ref="A1:P10">
  <tableColumns count="16">
    <tableColumn id="1" xr3:uid="{00000000-0010-0000-0200-000001000000}" name="Author"/>
    <tableColumn id="2" xr3:uid="{00000000-0010-0000-0200-000002000000}" name="Year"/>
    <tableColumn id="3" xr3:uid="{00000000-0010-0000-0200-000003000000}" name="Country"/>
    <tableColumn id="4" xr3:uid="{00000000-0010-0000-0200-000004000000}" name="Region"/>
    <tableColumn id="5" xr3:uid="{00000000-0010-0000-0200-000005000000}" name="Ethnicity"/>
    <tableColumn id="6" xr3:uid="{00000000-0010-0000-0200-000006000000}" name="Method"/>
    <tableColumn id="7" xr3:uid="{00000000-0010-0000-0200-000007000000}" name="Source"/>
    <tableColumn id="8" xr3:uid="{00000000-0010-0000-0200-000008000000}" name="Type"/>
    <tableColumn id="9" xr3:uid="{00000000-0010-0000-0200-000009000000}" name="Quality"/>
    <tableColumn id="10" xr3:uid="{00000000-0010-0000-0200-00000A000000}" name="n_Positive"/>
    <tableColumn id="11" xr3:uid="{00000000-0010-0000-0200-00000B000000}" name="Mean_Positive"/>
    <tableColumn id="12" xr3:uid="{00000000-0010-0000-0200-00000C000000}" name="SD_Positive"/>
    <tableColumn id="13" xr3:uid="{00000000-0010-0000-0200-00000D000000}" name="n_Null"/>
    <tableColumn id="14" xr3:uid="{00000000-0010-0000-0200-00000E000000}" name="Mean_Null"/>
    <tableColumn id="15" xr3:uid="{00000000-0010-0000-0200-00000F000000}" name="SD_Null"/>
    <tableColumn id="16" xr3:uid="{00000000-0010-0000-0200-000010000000}" name="单位"/>
  </tableColumns>
  <tableStyleInfo showFirstColumn="1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GSTT1_ttMATable" displayName="GSTT1_ttMATable" ref="A1:P9" dataDxfId="16">
  <tableColumns count="16">
    <tableColumn id="1" xr3:uid="{00000000-0010-0000-0300-000001000000}" name="Author" dataDxfId="32"/>
    <tableColumn id="2" xr3:uid="{00000000-0010-0000-0300-000002000000}" name="Year" dataDxfId="31"/>
    <tableColumn id="3" xr3:uid="{00000000-0010-0000-0300-000003000000}" name="Country" dataDxfId="30"/>
    <tableColumn id="4" xr3:uid="{00000000-0010-0000-0300-000004000000}" name="Region" dataDxfId="29"/>
    <tableColumn id="5" xr3:uid="{00000000-0010-0000-0300-000005000000}" name="Ethnicity" dataDxfId="28"/>
    <tableColumn id="6" xr3:uid="{00000000-0010-0000-0300-000006000000}" name="Method" dataDxfId="27"/>
    <tableColumn id="7" xr3:uid="{00000000-0010-0000-0300-000007000000}" name="Source" dataDxfId="26"/>
    <tableColumn id="8" xr3:uid="{00000000-0010-0000-0300-000008000000}" name="Type" dataDxfId="25"/>
    <tableColumn id="9" xr3:uid="{00000000-0010-0000-0300-000009000000}" name="Quality" dataDxfId="24"/>
    <tableColumn id="10" xr3:uid="{00000000-0010-0000-0300-00000A000000}" name="n_Positive" dataDxfId="23"/>
    <tableColumn id="11" xr3:uid="{00000000-0010-0000-0300-00000B000000}" name="Mean_Positive" dataDxfId="22"/>
    <tableColumn id="12" xr3:uid="{00000000-0010-0000-0300-00000C000000}" name="SD_Positive" dataDxfId="21"/>
    <tableColumn id="13" xr3:uid="{00000000-0010-0000-0300-00000D000000}" name="n_Null" dataDxfId="20"/>
    <tableColumn id="14" xr3:uid="{00000000-0010-0000-0300-00000E000000}" name="Mean_Null" dataDxfId="19"/>
    <tableColumn id="15" xr3:uid="{00000000-0010-0000-0300-00000F000000}" name="SD_Null" dataDxfId="18"/>
    <tableColumn id="16" xr3:uid="{00000000-0010-0000-0300-000010000000}" name="单位" dataDxfId="17"/>
  </tableColumns>
  <tableStyleInfo showFirstColumn="1" showLastColumn="0" showRowStripes="0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"/>
  <sheetViews>
    <sheetView workbookViewId="0">
      <selection activeCell="B5" sqref="A2:P6"/>
    </sheetView>
  </sheetViews>
  <sheetFormatPr baseColWidth="10" defaultColWidth="9" defaultRowHeight="14"/>
  <cols>
    <col min="1" max="1" width="18" customWidth="1"/>
    <col min="2" max="2" width="9" customWidth="1"/>
    <col min="3" max="3" width="13" customWidth="1"/>
    <col min="4" max="4" width="18" customWidth="1"/>
    <col min="5" max="5" width="17" customWidth="1"/>
    <col min="6" max="6" width="30" customWidth="1"/>
    <col min="7" max="7" width="36" customWidth="1"/>
    <col min="8" max="8" width="27" customWidth="1"/>
    <col min="9" max="9" width="28" customWidth="1"/>
    <col min="10" max="10" width="12" customWidth="1"/>
    <col min="11" max="11" width="15" customWidth="1"/>
    <col min="12" max="12" width="14" customWidth="1"/>
    <col min="13" max="13" width="11" customWidth="1"/>
    <col min="14" max="14" width="14" customWidth="1"/>
    <col min="15" max="15" width="13" customWidth="1"/>
    <col min="16" max="16" width="24" customWidth="1"/>
  </cols>
  <sheetData>
    <row r="1" spans="1:16" ht="30" customHeight="1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</row>
    <row r="2" spans="1:16" ht="30" customHeight="1">
      <c r="A2" s="15" t="s">
        <v>18</v>
      </c>
      <c r="B2" s="16">
        <v>2003</v>
      </c>
      <c r="C2" s="15" t="s">
        <v>19</v>
      </c>
      <c r="D2" s="17" t="s">
        <v>20</v>
      </c>
      <c r="E2" s="15" t="s">
        <v>21</v>
      </c>
      <c r="F2" s="15" t="s">
        <v>22</v>
      </c>
      <c r="G2" s="15" t="s">
        <v>60</v>
      </c>
      <c r="H2" s="15" t="s">
        <v>61</v>
      </c>
      <c r="I2" s="15"/>
      <c r="J2" s="16">
        <v>22</v>
      </c>
      <c r="K2" s="18">
        <v>5.37</v>
      </c>
      <c r="L2" s="18">
        <v>4.97</v>
      </c>
      <c r="M2" s="16">
        <v>18</v>
      </c>
      <c r="N2" s="18">
        <v>7.06</v>
      </c>
      <c r="O2" s="18">
        <v>5.0599999999999996</v>
      </c>
      <c r="P2" s="15" t="s">
        <v>25</v>
      </c>
    </row>
    <row r="3" spans="1:16" ht="30" customHeight="1">
      <c r="A3" s="15" t="s">
        <v>29</v>
      </c>
      <c r="B3" s="16">
        <v>2008</v>
      </c>
      <c r="C3" s="15" t="s">
        <v>30</v>
      </c>
      <c r="D3" s="17" t="s">
        <v>31</v>
      </c>
      <c r="E3" s="15" t="s">
        <v>32</v>
      </c>
      <c r="F3" s="15" t="s">
        <v>33</v>
      </c>
      <c r="G3" s="15" t="s">
        <v>62</v>
      </c>
      <c r="H3" s="15" t="s">
        <v>61</v>
      </c>
      <c r="I3" s="15"/>
      <c r="J3" s="16">
        <v>18</v>
      </c>
      <c r="K3" s="18">
        <v>5.7</v>
      </c>
      <c r="L3" s="18">
        <v>7</v>
      </c>
      <c r="M3" s="16">
        <v>19</v>
      </c>
      <c r="N3" s="18">
        <v>2.7</v>
      </c>
      <c r="O3" s="18">
        <v>1.7</v>
      </c>
      <c r="P3" s="15" t="s">
        <v>36</v>
      </c>
    </row>
    <row r="4" spans="1:16" ht="30" customHeight="1">
      <c r="A4" s="15" t="s">
        <v>29</v>
      </c>
      <c r="B4" s="16">
        <v>2008</v>
      </c>
      <c r="C4" s="15" t="s">
        <v>30</v>
      </c>
      <c r="D4" s="17" t="s">
        <v>31</v>
      </c>
      <c r="E4" s="15" t="s">
        <v>32</v>
      </c>
      <c r="F4" s="15" t="s">
        <v>33</v>
      </c>
      <c r="G4" s="15" t="s">
        <v>63</v>
      </c>
      <c r="H4" s="15" t="s">
        <v>61</v>
      </c>
      <c r="I4" s="15"/>
      <c r="J4" s="16">
        <v>20</v>
      </c>
      <c r="K4" s="18">
        <v>29</v>
      </c>
      <c r="L4" s="18">
        <v>42</v>
      </c>
      <c r="M4" s="16">
        <v>13</v>
      </c>
      <c r="N4" s="18">
        <v>28</v>
      </c>
      <c r="O4" s="18">
        <v>47</v>
      </c>
      <c r="P4" s="15" t="s">
        <v>36</v>
      </c>
    </row>
    <row r="5" spans="1:16" ht="30" customHeight="1">
      <c r="A5" s="15" t="s">
        <v>64</v>
      </c>
      <c r="B5" s="16">
        <v>2012</v>
      </c>
      <c r="C5" s="15" t="s">
        <v>38</v>
      </c>
      <c r="D5" s="17" t="s">
        <v>20</v>
      </c>
      <c r="E5" s="15" t="s">
        <v>21</v>
      </c>
      <c r="F5" s="15" t="s">
        <v>39</v>
      </c>
      <c r="G5" s="15" t="s">
        <v>65</v>
      </c>
      <c r="H5" s="15" t="s">
        <v>61</v>
      </c>
      <c r="I5" s="15"/>
      <c r="J5" s="16">
        <v>93</v>
      </c>
      <c r="K5" s="18">
        <v>0.88</v>
      </c>
      <c r="L5" s="18">
        <v>1.85</v>
      </c>
      <c r="M5" s="19">
        <v>94</v>
      </c>
      <c r="N5" s="20">
        <v>0.73</v>
      </c>
      <c r="O5" s="20">
        <v>1.25</v>
      </c>
      <c r="P5" s="15" t="s">
        <v>36</v>
      </c>
    </row>
    <row r="6" spans="1:16" ht="30" customHeight="1">
      <c r="A6" s="15" t="s">
        <v>66</v>
      </c>
      <c r="B6" s="16">
        <v>2012</v>
      </c>
      <c r="C6" s="15" t="s">
        <v>38</v>
      </c>
      <c r="D6" s="17" t="s">
        <v>20</v>
      </c>
      <c r="E6" s="15" t="s">
        <v>21</v>
      </c>
      <c r="F6" s="15" t="s">
        <v>39</v>
      </c>
      <c r="G6" s="15" t="s">
        <v>65</v>
      </c>
      <c r="H6" s="15" t="s">
        <v>61</v>
      </c>
      <c r="I6" s="15"/>
      <c r="J6" s="16">
        <v>55</v>
      </c>
      <c r="K6" s="18">
        <v>6.04</v>
      </c>
      <c r="L6" s="18">
        <v>6.53</v>
      </c>
      <c r="M6" s="19">
        <v>73</v>
      </c>
      <c r="N6" s="20">
        <v>3.3</v>
      </c>
      <c r="O6" s="20">
        <v>4.03</v>
      </c>
      <c r="P6" s="15" t="s">
        <v>36</v>
      </c>
    </row>
    <row r="8" spans="1:16">
      <c r="J8" s="6"/>
      <c r="K8" s="7"/>
      <c r="L8" s="7"/>
    </row>
    <row r="10" spans="1:16">
      <c r="J10" s="6"/>
      <c r="K10" s="7"/>
      <c r="L10" s="7"/>
    </row>
  </sheetData>
  <phoneticPr fontId="5" type="noConversion"/>
  <conditionalFormatting sqref="I2:I6">
    <cfRule type="expression" dxfId="15" priority="1">
      <formula>ISNUMBER(SEARCH("Complete",I2))</formula>
    </cfRule>
    <cfRule type="expression" dxfId="14" priority="2">
      <formula>OR(ISNUMBER(SEARCH("Missing",I2)),ISNUMBER(SEARCH("Only median",I2)))</formula>
    </cfRule>
    <cfRule type="expression" dxfId="13" priority="3">
      <formula>ISNUMBER(SEARCH("log scale",I2))</formula>
    </cfRule>
  </conditionalFormatting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2"/>
  <sheetViews>
    <sheetView zoomScale="99" workbookViewId="0">
      <selection activeCell="C9" sqref="A1:XFD1048576"/>
    </sheetView>
  </sheetViews>
  <sheetFormatPr baseColWidth="10" defaultColWidth="9" defaultRowHeight="15"/>
  <cols>
    <col min="1" max="1" width="18" style="13" customWidth="1"/>
    <col min="2" max="2" width="9" style="13" customWidth="1"/>
    <col min="3" max="3" width="13" style="13" customWidth="1"/>
    <col min="4" max="4" width="18" style="13" customWidth="1"/>
    <col min="5" max="5" width="17" style="13" customWidth="1"/>
    <col min="6" max="6" width="30" style="13" customWidth="1"/>
    <col min="7" max="7" width="36" style="13" customWidth="1"/>
    <col min="8" max="8" width="27" style="13" customWidth="1"/>
    <col min="9" max="9" width="28" style="13" customWidth="1"/>
    <col min="10" max="10" width="12" style="13" customWidth="1"/>
    <col min="11" max="11" width="15" style="13" customWidth="1"/>
    <col min="12" max="12" width="14" style="13" customWidth="1"/>
    <col min="13" max="13" width="11" style="13" customWidth="1"/>
    <col min="14" max="14" width="14" style="13" customWidth="1"/>
    <col min="15" max="15" width="13" style="13" customWidth="1"/>
    <col min="16" max="16" width="24" style="13" customWidth="1"/>
    <col min="17" max="16384" width="9" style="13"/>
  </cols>
  <sheetData>
    <row r="1" spans="1:16" ht="30" customHeight="1">
      <c r="A1" s="14" t="s">
        <v>44</v>
      </c>
      <c r="B1" s="14" t="s">
        <v>45</v>
      </c>
      <c r="C1" s="14" t="s">
        <v>46</v>
      </c>
      <c r="D1" s="14" t="s">
        <v>47</v>
      </c>
      <c r="E1" s="14" t="s">
        <v>48</v>
      </c>
      <c r="F1" s="14" t="s">
        <v>49</v>
      </c>
      <c r="G1" s="14" t="s">
        <v>50</v>
      </c>
      <c r="H1" s="14" t="s">
        <v>51</v>
      </c>
      <c r="I1" s="14" t="s">
        <v>52</v>
      </c>
      <c r="J1" s="14" t="s">
        <v>53</v>
      </c>
      <c r="K1" s="14" t="s">
        <v>54</v>
      </c>
      <c r="L1" s="14" t="s">
        <v>55</v>
      </c>
      <c r="M1" s="14" t="s">
        <v>56</v>
      </c>
      <c r="N1" s="14" t="s">
        <v>57</v>
      </c>
      <c r="O1" s="14" t="s">
        <v>58</v>
      </c>
      <c r="P1" s="14" t="s">
        <v>59</v>
      </c>
    </row>
    <row r="2" spans="1:16" ht="30" customHeight="1">
      <c r="A2" s="15" t="s">
        <v>18</v>
      </c>
      <c r="B2" s="16">
        <v>2003</v>
      </c>
      <c r="C2" s="15" t="s">
        <v>19</v>
      </c>
      <c r="D2" s="17" t="s">
        <v>20</v>
      </c>
      <c r="E2" s="15" t="s">
        <v>21</v>
      </c>
      <c r="F2" s="15" t="s">
        <v>22</v>
      </c>
      <c r="G2" s="15" t="s">
        <v>60</v>
      </c>
      <c r="H2" s="15" t="s">
        <v>61</v>
      </c>
      <c r="I2" s="15"/>
      <c r="J2" s="16">
        <v>22</v>
      </c>
      <c r="K2" s="18">
        <v>152</v>
      </c>
      <c r="L2" s="18">
        <v>115</v>
      </c>
      <c r="M2" s="16">
        <v>18</v>
      </c>
      <c r="N2" s="18">
        <v>85</v>
      </c>
      <c r="O2" s="18">
        <v>50</v>
      </c>
      <c r="P2" s="15" t="s">
        <v>25</v>
      </c>
    </row>
    <row r="3" spans="1:16" ht="30" customHeight="1">
      <c r="A3" s="15" t="s">
        <v>29</v>
      </c>
      <c r="B3" s="16">
        <v>2008</v>
      </c>
      <c r="C3" s="15" t="s">
        <v>30</v>
      </c>
      <c r="D3" s="17" t="s">
        <v>31</v>
      </c>
      <c r="E3" s="15" t="s">
        <v>32</v>
      </c>
      <c r="F3" s="15" t="s">
        <v>33</v>
      </c>
      <c r="G3" s="15" t="s">
        <v>62</v>
      </c>
      <c r="H3" s="15" t="s">
        <v>61</v>
      </c>
      <c r="I3" s="15"/>
      <c r="J3" s="16">
        <v>18</v>
      </c>
      <c r="K3" s="18">
        <v>680</v>
      </c>
      <c r="L3" s="18">
        <v>550</v>
      </c>
      <c r="M3" s="16">
        <v>19</v>
      </c>
      <c r="N3" s="18">
        <v>490</v>
      </c>
      <c r="O3" s="18">
        <v>400</v>
      </c>
      <c r="P3" s="15" t="s">
        <v>36</v>
      </c>
    </row>
    <row r="4" spans="1:16" ht="30" customHeight="1">
      <c r="A4" s="15" t="s">
        <v>29</v>
      </c>
      <c r="B4" s="16">
        <v>2008</v>
      </c>
      <c r="C4" s="15" t="s">
        <v>30</v>
      </c>
      <c r="D4" s="17" t="s">
        <v>31</v>
      </c>
      <c r="E4" s="15" t="s">
        <v>32</v>
      </c>
      <c r="F4" s="15" t="s">
        <v>33</v>
      </c>
      <c r="G4" s="15" t="s">
        <v>63</v>
      </c>
      <c r="H4" s="15" t="s">
        <v>61</v>
      </c>
      <c r="I4" s="15"/>
      <c r="J4" s="16">
        <v>20</v>
      </c>
      <c r="K4" s="18">
        <v>10000</v>
      </c>
      <c r="L4" s="18">
        <v>15000</v>
      </c>
      <c r="M4" s="16">
        <v>13</v>
      </c>
      <c r="N4" s="18">
        <v>11000</v>
      </c>
      <c r="O4" s="18">
        <v>17000</v>
      </c>
      <c r="P4" s="15" t="s">
        <v>36</v>
      </c>
    </row>
    <row r="5" spans="1:16" ht="30" customHeight="1">
      <c r="A5" s="15" t="s">
        <v>64</v>
      </c>
      <c r="B5" s="16">
        <v>2012</v>
      </c>
      <c r="C5" s="15" t="s">
        <v>38</v>
      </c>
      <c r="D5" s="17" t="s">
        <v>20</v>
      </c>
      <c r="E5" s="15" t="s">
        <v>21</v>
      </c>
      <c r="F5" s="15" t="s">
        <v>67</v>
      </c>
      <c r="G5" s="15" t="s">
        <v>65</v>
      </c>
      <c r="H5" s="15" t="s">
        <v>61</v>
      </c>
      <c r="I5" s="15"/>
      <c r="J5" s="16">
        <v>93</v>
      </c>
      <c r="K5" s="18">
        <v>60.5</v>
      </c>
      <c r="L5" s="18">
        <v>69.900000000000006</v>
      </c>
      <c r="M5" s="19">
        <v>94</v>
      </c>
      <c r="N5" s="20">
        <v>61.87</v>
      </c>
      <c r="O5" s="20">
        <v>60.06</v>
      </c>
      <c r="P5" s="15" t="s">
        <v>36</v>
      </c>
    </row>
    <row r="6" spans="1:16" ht="30" customHeight="1">
      <c r="A6" s="15" t="s">
        <v>66</v>
      </c>
      <c r="B6" s="16">
        <v>2012</v>
      </c>
      <c r="C6" s="15" t="s">
        <v>38</v>
      </c>
      <c r="D6" s="17" t="s">
        <v>20</v>
      </c>
      <c r="E6" s="15" t="s">
        <v>21</v>
      </c>
      <c r="F6" s="15" t="s">
        <v>67</v>
      </c>
      <c r="G6" s="15" t="s">
        <v>65</v>
      </c>
      <c r="H6" s="15" t="s">
        <v>61</v>
      </c>
      <c r="I6" s="15"/>
      <c r="J6" s="16">
        <v>55</v>
      </c>
      <c r="K6" s="18">
        <v>138.18</v>
      </c>
      <c r="L6" s="18">
        <v>115.05</v>
      </c>
      <c r="M6" s="19">
        <v>73</v>
      </c>
      <c r="N6" s="20">
        <v>155.65</v>
      </c>
      <c r="O6" s="20">
        <v>189.58</v>
      </c>
      <c r="P6" s="15" t="s">
        <v>36</v>
      </c>
    </row>
    <row r="8" spans="1:16">
      <c r="J8" s="19"/>
      <c r="K8" s="20"/>
      <c r="L8" s="20"/>
    </row>
    <row r="12" spans="1:16">
      <c r="J12" s="19"/>
      <c r="K12" s="20"/>
      <c r="L12" s="20"/>
    </row>
  </sheetData>
  <phoneticPr fontId="5" type="noConversion"/>
  <conditionalFormatting sqref="I2:I6">
    <cfRule type="expression" dxfId="12" priority="1">
      <formula>ISNUMBER(SEARCH("Complete",I2))</formula>
    </cfRule>
    <cfRule type="expression" dxfId="11" priority="2">
      <formula>OR(ISNUMBER(SEARCH("Missing",I2)),ISNUMBER(SEARCH("Only median",I2)))</formula>
    </cfRule>
    <cfRule type="expression" dxfId="10" priority="3">
      <formula>ISNUMBER(SEARCH("log scale",I2))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"/>
  <sheetViews>
    <sheetView workbookViewId="0">
      <selection activeCell="F25" sqref="A1:XFD1048576"/>
    </sheetView>
  </sheetViews>
  <sheetFormatPr baseColWidth="10" defaultColWidth="9" defaultRowHeight="14"/>
  <cols>
    <col min="1" max="1" width="18" customWidth="1"/>
    <col min="2" max="2" width="9" customWidth="1"/>
    <col min="3" max="3" width="13" customWidth="1"/>
    <col min="4" max="4" width="18" customWidth="1"/>
    <col min="5" max="5" width="17" customWidth="1"/>
    <col min="6" max="6" width="30" customWidth="1"/>
    <col min="7" max="7" width="36" customWidth="1"/>
    <col min="8" max="8" width="27" customWidth="1"/>
    <col min="9" max="9" width="28" customWidth="1"/>
    <col min="10" max="10" width="12" customWidth="1"/>
    <col min="11" max="11" width="15" customWidth="1"/>
    <col min="12" max="12" width="14" customWidth="1"/>
    <col min="13" max="13" width="11" customWidth="1"/>
    <col min="14" max="14" width="14" customWidth="1"/>
    <col min="15" max="15" width="13" customWidth="1"/>
    <col min="16" max="16" width="24" customWidth="1"/>
  </cols>
  <sheetData>
    <row r="1" spans="1:16" ht="30" customHeight="1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</row>
    <row r="2" spans="1:16" ht="30" customHeight="1">
      <c r="A2" s="2" t="s">
        <v>18</v>
      </c>
      <c r="B2" s="3">
        <v>2003</v>
      </c>
      <c r="C2" s="2" t="s">
        <v>19</v>
      </c>
      <c r="D2" s="4" t="s">
        <v>20</v>
      </c>
      <c r="E2" s="2" t="s">
        <v>21</v>
      </c>
      <c r="F2" s="2" t="s">
        <v>22</v>
      </c>
      <c r="G2" s="2" t="s">
        <v>60</v>
      </c>
      <c r="H2" s="2" t="s">
        <v>61</v>
      </c>
      <c r="I2" s="2"/>
      <c r="J2" s="3">
        <v>32</v>
      </c>
      <c r="K2" s="5">
        <v>6.71</v>
      </c>
      <c r="L2" s="5">
        <v>5.24</v>
      </c>
      <c r="M2" s="3">
        <v>8</v>
      </c>
      <c r="N2" s="5">
        <v>3.79</v>
      </c>
      <c r="O2" s="5">
        <v>3.23</v>
      </c>
      <c r="P2" s="2" t="s">
        <v>25</v>
      </c>
    </row>
    <row r="3" spans="1:16" ht="30" customHeight="1">
      <c r="A3" s="2" t="s">
        <v>68</v>
      </c>
      <c r="B3" s="3">
        <v>2005</v>
      </c>
      <c r="C3" s="2" t="s">
        <v>69</v>
      </c>
      <c r="D3" s="4" t="s">
        <v>70</v>
      </c>
      <c r="E3" s="2" t="s">
        <v>71</v>
      </c>
      <c r="F3" s="2" t="s">
        <v>22</v>
      </c>
      <c r="G3" s="2" t="s">
        <v>72</v>
      </c>
      <c r="H3" s="2" t="s">
        <v>61</v>
      </c>
      <c r="I3" s="2"/>
      <c r="J3" s="3">
        <v>11</v>
      </c>
      <c r="K3" s="5">
        <v>0.65</v>
      </c>
      <c r="L3" s="5">
        <v>0.48</v>
      </c>
      <c r="M3" s="3">
        <v>10</v>
      </c>
      <c r="N3" s="5">
        <v>0.55000000000000004</v>
      </c>
      <c r="O3" s="5">
        <v>0.45</v>
      </c>
      <c r="P3" s="2" t="s">
        <v>36</v>
      </c>
    </row>
    <row r="4" spans="1:16" ht="30" customHeight="1">
      <c r="A4" s="2" t="s">
        <v>68</v>
      </c>
      <c r="B4" s="3">
        <v>2005</v>
      </c>
      <c r="C4" s="2" t="s">
        <v>69</v>
      </c>
      <c r="D4" s="4" t="s">
        <v>70</v>
      </c>
      <c r="E4" s="2" t="s">
        <v>71</v>
      </c>
      <c r="F4" s="2" t="s">
        <v>22</v>
      </c>
      <c r="G4" s="2" t="s">
        <v>73</v>
      </c>
      <c r="H4" s="2" t="s">
        <v>61</v>
      </c>
      <c r="I4" s="2"/>
      <c r="J4" s="3">
        <v>15</v>
      </c>
      <c r="K4" s="5">
        <v>0.45</v>
      </c>
      <c r="L4" s="5">
        <v>0.56999999999999995</v>
      </c>
      <c r="M4" s="3">
        <v>18</v>
      </c>
      <c r="N4" s="5">
        <v>0.3</v>
      </c>
      <c r="O4" s="5">
        <v>0.38</v>
      </c>
      <c r="P4" s="2" t="s">
        <v>36</v>
      </c>
    </row>
    <row r="5" spans="1:16" ht="30" customHeight="1">
      <c r="A5" s="2" t="s">
        <v>68</v>
      </c>
      <c r="B5" s="3">
        <v>2005</v>
      </c>
      <c r="C5" s="2" t="s">
        <v>69</v>
      </c>
      <c r="D5" s="4" t="s">
        <v>70</v>
      </c>
      <c r="E5" s="2" t="s">
        <v>71</v>
      </c>
      <c r="F5" s="2" t="s">
        <v>22</v>
      </c>
      <c r="G5" s="2" t="s">
        <v>74</v>
      </c>
      <c r="H5" s="2" t="s">
        <v>61</v>
      </c>
      <c r="I5" s="2"/>
      <c r="J5" s="3">
        <v>28</v>
      </c>
      <c r="K5" s="5">
        <v>0.55000000000000004</v>
      </c>
      <c r="L5" s="5">
        <v>1.87</v>
      </c>
      <c r="M5" s="3">
        <v>12</v>
      </c>
      <c r="N5" s="5">
        <v>0.1</v>
      </c>
      <c r="O5" s="5">
        <v>0.11</v>
      </c>
      <c r="P5" s="2" t="s">
        <v>36</v>
      </c>
    </row>
    <row r="6" spans="1:16" ht="30" customHeight="1">
      <c r="A6" s="2" t="s">
        <v>68</v>
      </c>
      <c r="B6" s="3">
        <v>2005</v>
      </c>
      <c r="C6" s="2" t="s">
        <v>69</v>
      </c>
      <c r="D6" s="4" t="s">
        <v>70</v>
      </c>
      <c r="E6" s="2" t="s">
        <v>71</v>
      </c>
      <c r="F6" s="2" t="s">
        <v>22</v>
      </c>
      <c r="G6" s="2" t="s">
        <v>75</v>
      </c>
      <c r="H6" s="2" t="s">
        <v>61</v>
      </c>
      <c r="I6" s="2"/>
      <c r="J6" s="3">
        <v>13</v>
      </c>
      <c r="K6" s="5">
        <v>0.16</v>
      </c>
      <c r="L6" s="5">
        <v>0.42</v>
      </c>
      <c r="M6" s="3">
        <v>14</v>
      </c>
      <c r="N6" s="5">
        <v>0.04</v>
      </c>
      <c r="O6" s="5">
        <v>0.17</v>
      </c>
      <c r="P6" s="2" t="s">
        <v>36</v>
      </c>
    </row>
    <row r="7" spans="1:16" ht="30" customHeight="1">
      <c r="A7" s="2" t="s">
        <v>29</v>
      </c>
      <c r="B7" s="3">
        <v>2008</v>
      </c>
      <c r="C7" s="2" t="s">
        <v>30</v>
      </c>
      <c r="D7" s="4" t="s">
        <v>31</v>
      </c>
      <c r="E7" s="2" t="s">
        <v>32</v>
      </c>
      <c r="F7" s="2" t="s">
        <v>33</v>
      </c>
      <c r="G7" s="2" t="s">
        <v>62</v>
      </c>
      <c r="H7" s="2" t="s">
        <v>61</v>
      </c>
      <c r="I7" s="2"/>
      <c r="J7" s="3">
        <v>17</v>
      </c>
      <c r="K7" s="5">
        <v>5.9</v>
      </c>
      <c r="L7" s="5">
        <v>7.1</v>
      </c>
      <c r="M7" s="3">
        <v>20</v>
      </c>
      <c r="N7" s="5">
        <v>2.7</v>
      </c>
      <c r="O7" s="5">
        <v>2.1</v>
      </c>
      <c r="P7" s="2" t="s">
        <v>36</v>
      </c>
    </row>
    <row r="8" spans="1:16" ht="30" customHeight="1">
      <c r="A8" s="2" t="s">
        <v>29</v>
      </c>
      <c r="B8" s="3">
        <v>2008</v>
      </c>
      <c r="C8" s="2" t="s">
        <v>30</v>
      </c>
      <c r="D8" s="4" t="s">
        <v>31</v>
      </c>
      <c r="E8" s="2" t="s">
        <v>32</v>
      </c>
      <c r="F8" s="2" t="s">
        <v>33</v>
      </c>
      <c r="G8" s="2" t="s">
        <v>63</v>
      </c>
      <c r="H8" s="2" t="s">
        <v>61</v>
      </c>
      <c r="I8" s="2"/>
      <c r="J8" s="3">
        <v>16</v>
      </c>
      <c r="K8" s="5">
        <v>39</v>
      </c>
      <c r="L8" s="5">
        <v>58</v>
      </c>
      <c r="M8" s="3">
        <v>17</v>
      </c>
      <c r="N8" s="5">
        <v>19</v>
      </c>
      <c r="O8" s="5">
        <v>20</v>
      </c>
      <c r="P8" s="2" t="s">
        <v>36</v>
      </c>
    </row>
    <row r="9" spans="1:16" ht="30" customHeight="1">
      <c r="A9" s="2" t="s">
        <v>64</v>
      </c>
      <c r="B9" s="3">
        <v>2012</v>
      </c>
      <c r="C9" s="2" t="s">
        <v>38</v>
      </c>
      <c r="D9" s="4" t="s">
        <v>20</v>
      </c>
      <c r="E9" s="2" t="s">
        <v>21</v>
      </c>
      <c r="F9" s="2" t="s">
        <v>39</v>
      </c>
      <c r="G9" s="2" t="s">
        <v>65</v>
      </c>
      <c r="H9" s="2" t="s">
        <v>61</v>
      </c>
      <c r="I9" s="2"/>
      <c r="J9" s="3">
        <v>148</v>
      </c>
      <c r="K9" s="5">
        <v>0.94</v>
      </c>
      <c r="L9" s="5">
        <v>1.74</v>
      </c>
      <c r="M9" s="3">
        <v>39</v>
      </c>
      <c r="N9" s="5">
        <v>0.28000000000000003</v>
      </c>
      <c r="O9" s="5">
        <v>0.27</v>
      </c>
      <c r="P9" s="2" t="s">
        <v>36</v>
      </c>
    </row>
    <row r="10" spans="1:16" ht="30" customHeight="1">
      <c r="A10" s="2" t="s">
        <v>66</v>
      </c>
      <c r="B10" s="3">
        <v>2012</v>
      </c>
      <c r="C10" s="2" t="s">
        <v>38</v>
      </c>
      <c r="D10" s="4" t="s">
        <v>20</v>
      </c>
      <c r="E10" s="2" t="s">
        <v>21</v>
      </c>
      <c r="F10" s="2" t="s">
        <v>39</v>
      </c>
      <c r="G10" s="2" t="s">
        <v>65</v>
      </c>
      <c r="H10" s="2" t="s">
        <v>61</v>
      </c>
      <c r="I10" s="2"/>
      <c r="J10" s="3">
        <v>97</v>
      </c>
      <c r="K10" s="5">
        <v>5.41</v>
      </c>
      <c r="L10" s="5">
        <v>5.87</v>
      </c>
      <c r="M10" s="3">
        <v>31</v>
      </c>
      <c r="N10" s="5">
        <v>1.06</v>
      </c>
      <c r="O10" s="5">
        <v>1.33</v>
      </c>
      <c r="P10" s="2" t="s">
        <v>36</v>
      </c>
    </row>
  </sheetData>
  <phoneticPr fontId="5" type="noConversion"/>
  <conditionalFormatting sqref="I2:I10">
    <cfRule type="expression" dxfId="9" priority="1">
      <formula>ISNUMBER(SEARCH("Complete",I2))</formula>
    </cfRule>
    <cfRule type="expression" dxfId="8" priority="2">
      <formula>OR(ISNUMBER(SEARCH("Missing",I2)),ISNUMBER(SEARCH("Only median",I2)))</formula>
    </cfRule>
    <cfRule type="expression" dxfId="7" priority="3">
      <formula>ISNUMBER(SEARCH("log scale",I2))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9"/>
  <sheetViews>
    <sheetView topLeftCell="D1" zoomScale="75" workbookViewId="0">
      <selection activeCell="G5" sqref="A2:P9"/>
    </sheetView>
  </sheetViews>
  <sheetFormatPr baseColWidth="10" defaultColWidth="9" defaultRowHeight="14"/>
  <cols>
    <col min="1" max="1" width="18" customWidth="1"/>
    <col min="2" max="2" width="9" customWidth="1"/>
    <col min="3" max="3" width="13" customWidth="1"/>
    <col min="4" max="4" width="18" customWidth="1"/>
    <col min="5" max="5" width="17" customWidth="1"/>
    <col min="6" max="6" width="30" customWidth="1"/>
    <col min="7" max="7" width="36" customWidth="1"/>
    <col min="8" max="8" width="27" customWidth="1"/>
    <col min="9" max="9" width="28" customWidth="1"/>
    <col min="10" max="10" width="12" customWidth="1"/>
    <col min="11" max="11" width="15" customWidth="1"/>
    <col min="12" max="12" width="14" customWidth="1"/>
    <col min="13" max="13" width="11" customWidth="1"/>
    <col min="14" max="14" width="14" customWidth="1"/>
    <col min="15" max="15" width="13" customWidth="1"/>
    <col min="16" max="16" width="24" customWidth="1"/>
  </cols>
  <sheetData>
    <row r="1" spans="1:16" ht="30" customHeight="1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</row>
    <row r="2" spans="1:16" ht="30" customHeight="1">
      <c r="A2" s="15" t="s">
        <v>18</v>
      </c>
      <c r="B2" s="16">
        <v>2003</v>
      </c>
      <c r="C2" s="15" t="s">
        <v>19</v>
      </c>
      <c r="D2" s="17" t="s">
        <v>20</v>
      </c>
      <c r="E2" s="15" t="s">
        <v>21</v>
      </c>
      <c r="F2" s="15" t="s">
        <v>22</v>
      </c>
      <c r="G2" s="15" t="s">
        <v>60</v>
      </c>
      <c r="H2" s="15" t="s">
        <v>61</v>
      </c>
      <c r="I2" s="15"/>
      <c r="J2" s="16">
        <v>32</v>
      </c>
      <c r="K2" s="18">
        <v>133</v>
      </c>
      <c r="L2" s="18">
        <v>104</v>
      </c>
      <c r="M2" s="16">
        <v>8</v>
      </c>
      <c r="N2" s="18">
        <v>75</v>
      </c>
      <c r="O2" s="18">
        <v>38</v>
      </c>
      <c r="P2" s="15" t="s">
        <v>25</v>
      </c>
    </row>
    <row r="3" spans="1:16" ht="30" customHeight="1">
      <c r="A3" s="15" t="s">
        <v>76</v>
      </c>
      <c r="B3" s="16">
        <v>2007</v>
      </c>
      <c r="C3" s="15" t="s">
        <v>77</v>
      </c>
      <c r="D3" s="17" t="s">
        <v>31</v>
      </c>
      <c r="E3" s="15" t="s">
        <v>78</v>
      </c>
      <c r="F3" s="15" t="s">
        <v>79</v>
      </c>
      <c r="G3" s="15" t="s">
        <v>80</v>
      </c>
      <c r="H3" s="15" t="s">
        <v>81</v>
      </c>
      <c r="I3" s="15"/>
      <c r="J3" s="16">
        <v>13</v>
      </c>
      <c r="K3" s="18">
        <v>0.04</v>
      </c>
      <c r="L3" s="18">
        <v>3.6055512754639897E-2</v>
      </c>
      <c r="M3" s="16">
        <v>21</v>
      </c>
      <c r="N3" s="18">
        <v>0.05</v>
      </c>
      <c r="O3" s="18">
        <v>4.5825756949558399E-2</v>
      </c>
      <c r="P3" s="15" t="s">
        <v>82</v>
      </c>
    </row>
    <row r="4" spans="1:16" ht="30" customHeight="1">
      <c r="A4" s="15" t="s">
        <v>76</v>
      </c>
      <c r="B4" s="16">
        <v>2007</v>
      </c>
      <c r="C4" s="15" t="s">
        <v>77</v>
      </c>
      <c r="D4" s="17" t="s">
        <v>31</v>
      </c>
      <c r="E4" s="15" t="s">
        <v>78</v>
      </c>
      <c r="F4" s="15" t="s">
        <v>79</v>
      </c>
      <c r="G4" s="15" t="s">
        <v>83</v>
      </c>
      <c r="H4" s="15" t="s">
        <v>81</v>
      </c>
      <c r="I4" s="15"/>
      <c r="J4" s="16">
        <v>9</v>
      </c>
      <c r="K4" s="18">
        <v>0.13</v>
      </c>
      <c r="L4" s="18">
        <v>0.12</v>
      </c>
      <c r="M4" s="16">
        <v>22</v>
      </c>
      <c r="N4" s="18">
        <v>0.14000000000000001</v>
      </c>
      <c r="O4" s="18">
        <v>0.140712472794703</v>
      </c>
      <c r="P4" s="15" t="s">
        <v>82</v>
      </c>
    </row>
    <row r="5" spans="1:16" ht="30" customHeight="1">
      <c r="A5" s="15" t="s">
        <v>76</v>
      </c>
      <c r="B5" s="16">
        <v>2007</v>
      </c>
      <c r="C5" s="15" t="s">
        <v>77</v>
      </c>
      <c r="D5" s="17" t="s">
        <v>31</v>
      </c>
      <c r="E5" s="15" t="s">
        <v>78</v>
      </c>
      <c r="F5" s="15" t="s">
        <v>79</v>
      </c>
      <c r="G5" s="15" t="s">
        <v>84</v>
      </c>
      <c r="H5" s="15" t="s">
        <v>81</v>
      </c>
      <c r="I5" s="15"/>
      <c r="J5" s="16">
        <v>12</v>
      </c>
      <c r="K5" s="18">
        <v>0.2</v>
      </c>
      <c r="L5" s="18">
        <v>0.13856406460550999</v>
      </c>
      <c r="M5" s="16">
        <v>19</v>
      </c>
      <c r="N5" s="18">
        <v>0.2</v>
      </c>
      <c r="O5" s="18">
        <v>0.13076696830622001</v>
      </c>
      <c r="P5" s="15" t="s">
        <v>82</v>
      </c>
    </row>
    <row r="6" spans="1:16" ht="30" customHeight="1">
      <c r="A6" s="15" t="s">
        <v>29</v>
      </c>
      <c r="B6" s="16">
        <v>2008</v>
      </c>
      <c r="C6" s="15" t="s">
        <v>30</v>
      </c>
      <c r="D6" s="17" t="s">
        <v>31</v>
      </c>
      <c r="E6" s="15" t="s">
        <v>32</v>
      </c>
      <c r="F6" s="15" t="s">
        <v>33</v>
      </c>
      <c r="G6" s="15" t="s">
        <v>62</v>
      </c>
      <c r="H6" s="15" t="s">
        <v>61</v>
      </c>
      <c r="I6" s="15"/>
      <c r="J6" s="16">
        <v>17</v>
      </c>
      <c r="K6" s="18">
        <v>530</v>
      </c>
      <c r="L6" s="18">
        <v>470</v>
      </c>
      <c r="M6" s="16">
        <v>20</v>
      </c>
      <c r="N6" s="18">
        <v>630</v>
      </c>
      <c r="O6" s="18">
        <v>500</v>
      </c>
      <c r="P6" s="15" t="s">
        <v>36</v>
      </c>
    </row>
    <row r="7" spans="1:16" ht="30" customHeight="1">
      <c r="A7" s="15" t="s">
        <v>29</v>
      </c>
      <c r="B7" s="16">
        <v>2008</v>
      </c>
      <c r="C7" s="15" t="s">
        <v>30</v>
      </c>
      <c r="D7" s="17" t="s">
        <v>31</v>
      </c>
      <c r="E7" s="15" t="s">
        <v>32</v>
      </c>
      <c r="F7" s="15" t="s">
        <v>33</v>
      </c>
      <c r="G7" s="15" t="s">
        <v>63</v>
      </c>
      <c r="H7" s="15" t="s">
        <v>61</v>
      </c>
      <c r="I7" s="15"/>
      <c r="J7" s="16">
        <v>16</v>
      </c>
      <c r="K7" s="18">
        <v>11000</v>
      </c>
      <c r="L7" s="18">
        <v>17000</v>
      </c>
      <c r="M7" s="16">
        <v>17</v>
      </c>
      <c r="N7" s="18">
        <v>10000</v>
      </c>
      <c r="O7" s="18">
        <v>16000</v>
      </c>
      <c r="P7" s="15" t="s">
        <v>36</v>
      </c>
    </row>
    <row r="8" spans="1:16" ht="30" customHeight="1">
      <c r="A8" s="15" t="s">
        <v>64</v>
      </c>
      <c r="B8" s="16">
        <v>2012</v>
      </c>
      <c r="C8" s="15" t="s">
        <v>38</v>
      </c>
      <c r="D8" s="17" t="s">
        <v>20</v>
      </c>
      <c r="E8" s="15" t="s">
        <v>21</v>
      </c>
      <c r="F8" s="15" t="s">
        <v>67</v>
      </c>
      <c r="G8" s="15" t="s">
        <v>65</v>
      </c>
      <c r="H8" s="15" t="s">
        <v>61</v>
      </c>
      <c r="I8" s="15"/>
      <c r="J8" s="16">
        <v>148</v>
      </c>
      <c r="K8" s="18">
        <v>57.9</v>
      </c>
      <c r="L8" s="18">
        <v>54.53</v>
      </c>
      <c r="M8" s="16">
        <v>39</v>
      </c>
      <c r="N8" s="18">
        <v>73.650000000000006</v>
      </c>
      <c r="O8" s="18">
        <v>94.62</v>
      </c>
      <c r="P8" s="15" t="s">
        <v>36</v>
      </c>
    </row>
    <row r="9" spans="1:16" ht="30" customHeight="1">
      <c r="A9" s="15" t="s">
        <v>66</v>
      </c>
      <c r="B9" s="16">
        <v>2012</v>
      </c>
      <c r="C9" s="15" t="s">
        <v>38</v>
      </c>
      <c r="D9" s="17" t="s">
        <v>20</v>
      </c>
      <c r="E9" s="15" t="s">
        <v>21</v>
      </c>
      <c r="F9" s="15" t="s">
        <v>67</v>
      </c>
      <c r="G9" s="15" t="s">
        <v>65</v>
      </c>
      <c r="H9" s="15" t="s">
        <v>61</v>
      </c>
      <c r="I9" s="15"/>
      <c r="J9" s="16">
        <v>97</v>
      </c>
      <c r="K9" s="18">
        <v>154.06</v>
      </c>
      <c r="L9" s="18">
        <v>174.57</v>
      </c>
      <c r="M9" s="16">
        <v>31</v>
      </c>
      <c r="N9" s="18">
        <v>129.62</v>
      </c>
      <c r="O9" s="18">
        <v>111.4</v>
      </c>
      <c r="P9" s="15" t="s">
        <v>36</v>
      </c>
    </row>
  </sheetData>
  <phoneticPr fontId="5" type="noConversion"/>
  <conditionalFormatting sqref="I2:I9">
    <cfRule type="expression" dxfId="6" priority="1">
      <formula>ISNUMBER(SEARCH("Complete",I2))</formula>
    </cfRule>
    <cfRule type="expression" dxfId="5" priority="2">
      <formula>OR(ISNUMBER(SEARCH("Missing",I2)),ISNUMBER(SEARCH("Only median",I2)))</formula>
    </cfRule>
    <cfRule type="expression" dxfId="4" priority="3">
      <formula>ISNUMBER(SEARCH("log scale",I2))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7"/>
  <sheetViews>
    <sheetView workbookViewId="0">
      <selection activeCell="F12" sqref="F12"/>
    </sheetView>
  </sheetViews>
  <sheetFormatPr baseColWidth="10" defaultColWidth="9" defaultRowHeight="14"/>
  <cols>
    <col min="1" max="1" width="14" style="8" customWidth="1"/>
    <col min="2" max="2" width="8" style="8" customWidth="1"/>
    <col min="3" max="3" width="16" style="8" customWidth="1"/>
    <col min="4" max="4" width="10" style="8" customWidth="1"/>
    <col min="5" max="5" width="18" style="8" customWidth="1"/>
    <col min="6" max="6" width="28" style="8" customWidth="1"/>
    <col min="7" max="7" width="38" style="8" customWidth="1"/>
    <col min="8" max="8" width="20" style="8" customWidth="1"/>
    <col min="9" max="9" width="18" style="8" customWidth="1"/>
    <col min="10" max="10" width="22" style="8" customWidth="1"/>
    <col min="11" max="11" width="12" style="8" customWidth="1"/>
    <col min="12" max="12" width="34" style="8" customWidth="1"/>
    <col min="13" max="13" width="9" style="8" customWidth="1"/>
    <col min="14" max="15" width="11" style="8" customWidth="1"/>
    <col min="16" max="16" width="9" style="8" customWidth="1"/>
    <col min="17" max="18" width="11" style="8" customWidth="1"/>
    <col min="19" max="19" width="9" style="8" customWidth="1"/>
    <col min="20" max="16384" width="9" style="8"/>
  </cols>
  <sheetData>
    <row r="1" spans="1:18" s="1" customFormat="1" ht="14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</row>
    <row r="2" spans="1:18" ht="32" customHeight="1">
      <c r="A2" s="10" t="s">
        <v>18</v>
      </c>
      <c r="B2" s="10">
        <v>2003</v>
      </c>
      <c r="C2" s="10" t="s">
        <v>19</v>
      </c>
      <c r="D2" s="10" t="s">
        <v>20</v>
      </c>
      <c r="E2" s="10" t="s">
        <v>21</v>
      </c>
      <c r="F2" s="10" t="s">
        <v>22</v>
      </c>
      <c r="G2" s="10" t="s">
        <v>23</v>
      </c>
      <c r="H2" s="10" t="s">
        <v>24</v>
      </c>
      <c r="I2" s="10" t="s">
        <v>25</v>
      </c>
      <c r="J2" s="10" t="s">
        <v>26</v>
      </c>
      <c r="K2" s="10" t="s">
        <v>27</v>
      </c>
      <c r="L2" s="10" t="s">
        <v>28</v>
      </c>
      <c r="M2" s="11">
        <v>4</v>
      </c>
      <c r="N2" s="12">
        <v>10.220000000000001</v>
      </c>
      <c r="O2" s="12">
        <v>7.19</v>
      </c>
      <c r="P2" s="11">
        <v>13</v>
      </c>
      <c r="Q2" s="12">
        <v>5.94</v>
      </c>
      <c r="R2" s="12">
        <v>3.85</v>
      </c>
    </row>
    <row r="3" spans="1:18" ht="32" customHeight="1">
      <c r="A3" s="10" t="s">
        <v>29</v>
      </c>
      <c r="B3" s="10">
        <v>2008</v>
      </c>
      <c r="C3" s="10" t="s">
        <v>95</v>
      </c>
      <c r="D3" s="10" t="s">
        <v>96</v>
      </c>
      <c r="E3" s="10" t="s">
        <v>97</v>
      </c>
      <c r="F3" s="10" t="s">
        <v>33</v>
      </c>
      <c r="G3" s="10" t="s">
        <v>34</v>
      </c>
      <c r="H3" s="10" t="s">
        <v>35</v>
      </c>
      <c r="I3" s="10" t="s">
        <v>36</v>
      </c>
      <c r="J3" s="10" t="s">
        <v>26</v>
      </c>
      <c r="K3" s="10" t="s">
        <v>27</v>
      </c>
      <c r="L3" s="10" t="s">
        <v>28</v>
      </c>
      <c r="M3" s="11">
        <v>2</v>
      </c>
      <c r="N3" s="12">
        <v>9.1999999999999993</v>
      </c>
      <c r="O3" s="12">
        <v>2.1</v>
      </c>
      <c r="P3" s="11">
        <v>21</v>
      </c>
      <c r="Q3" s="12">
        <v>35</v>
      </c>
      <c r="R3" s="12">
        <v>52</v>
      </c>
    </row>
    <row r="4" spans="1:18" ht="32" customHeight="1">
      <c r="A4" s="10" t="s">
        <v>37</v>
      </c>
      <c r="B4" s="10">
        <v>2012</v>
      </c>
      <c r="C4" s="10" t="s">
        <v>38</v>
      </c>
      <c r="D4" s="10" t="s">
        <v>20</v>
      </c>
      <c r="E4" s="10" t="s">
        <v>21</v>
      </c>
      <c r="F4" s="10" t="s">
        <v>39</v>
      </c>
      <c r="G4" s="10" t="s">
        <v>40</v>
      </c>
      <c r="H4" s="10" t="s">
        <v>41</v>
      </c>
      <c r="I4" s="10" t="s">
        <v>36</v>
      </c>
      <c r="J4" s="10" t="s">
        <v>42</v>
      </c>
      <c r="K4" s="10" t="s">
        <v>27</v>
      </c>
      <c r="L4" s="10" t="s">
        <v>28</v>
      </c>
      <c r="M4" s="11">
        <v>23</v>
      </c>
      <c r="N4" s="12">
        <v>0.76</v>
      </c>
      <c r="O4" s="12">
        <v>1.1000000000000001</v>
      </c>
      <c r="P4" s="11">
        <v>82</v>
      </c>
      <c r="Q4" s="12">
        <v>1.01</v>
      </c>
      <c r="R4" s="12">
        <v>2.06</v>
      </c>
    </row>
    <row r="5" spans="1:18" ht="32" customHeight="1">
      <c r="A5" s="10" t="s">
        <v>37</v>
      </c>
      <c r="B5" s="10">
        <v>2012</v>
      </c>
      <c r="C5" s="10" t="s">
        <v>38</v>
      </c>
      <c r="D5" s="10" t="s">
        <v>20</v>
      </c>
      <c r="E5" s="10" t="s">
        <v>21</v>
      </c>
      <c r="F5" s="10" t="s">
        <v>39</v>
      </c>
      <c r="G5" s="10" t="s">
        <v>40</v>
      </c>
      <c r="H5" s="10" t="s">
        <v>43</v>
      </c>
      <c r="I5" s="10" t="s">
        <v>36</v>
      </c>
      <c r="J5" s="10" t="s">
        <v>42</v>
      </c>
      <c r="K5" s="10" t="s">
        <v>27</v>
      </c>
      <c r="L5" s="10" t="s">
        <v>28</v>
      </c>
      <c r="M5" s="11">
        <v>6</v>
      </c>
      <c r="N5" s="12">
        <v>2.67</v>
      </c>
      <c r="O5" s="12">
        <v>2.69</v>
      </c>
      <c r="P5" s="11">
        <v>64</v>
      </c>
      <c r="Q5" s="12">
        <v>5.03</v>
      </c>
      <c r="R5" s="12">
        <v>6.4</v>
      </c>
    </row>
    <row r="10" spans="1:18" ht="15">
      <c r="A10" s="10"/>
      <c r="B10" s="10"/>
      <c r="C10" s="10"/>
      <c r="D10" s="10"/>
      <c r="E10" s="10"/>
      <c r="F10" s="10"/>
    </row>
    <row r="11" spans="1:18" ht="15">
      <c r="A11" s="10"/>
      <c r="B11" s="10"/>
      <c r="C11" s="10"/>
      <c r="D11" s="10"/>
      <c r="E11" s="10"/>
      <c r="F11" s="10"/>
    </row>
    <row r="17" spans="1:1" ht="15">
      <c r="A17" s="10"/>
    </row>
  </sheetData>
  <autoFilter ref="A1:R5" xr:uid="{00000000-0009-0000-0000-000004000000}"/>
  <phoneticPr fontId="5" type="noConversion"/>
  <conditionalFormatting sqref="A2:F2">
    <cfRule type="expression" dxfId="3" priority="4">
      <formula>OR($J2="Alternative_stratified",$H2="Low (&lt;1 ppm)",$H2="High (&gt;=1 ppm)")</formula>
    </cfRule>
  </conditionalFormatting>
  <conditionalFormatting sqref="A10:F11">
    <cfRule type="expression" dxfId="2" priority="3">
      <formula>OR($J12="Alternative_stratified",$H12="Low (&lt;1 ppm)",$H12="High (&gt;=1 ppm)")</formula>
    </cfRule>
  </conditionalFormatting>
  <conditionalFormatting sqref="A4:F4">
    <cfRule type="expression" dxfId="1" priority="2">
      <formula>OR($J6="Alternative_stratified",$H6="Low (&lt;1 ppm)",$H6="High (&gt;=1 ppm)")</formula>
    </cfRule>
  </conditionalFormatting>
  <conditionalFormatting sqref="A17">
    <cfRule type="expression" dxfId="0" priority="1">
      <formula>OR($J19="Alternative_stratified",$H19="Low (&lt;1 ppm)",$H19="High (&gt;=1 ppm)")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6"/>
  <sheetViews>
    <sheetView topLeftCell="F1" workbookViewId="0">
      <selection activeCell="A5" sqref="A5:XFD5"/>
    </sheetView>
  </sheetViews>
  <sheetFormatPr baseColWidth="10" defaultColWidth="8.83203125" defaultRowHeight="15"/>
  <cols>
    <col min="1" max="1" width="14" style="13" customWidth="1"/>
    <col min="2" max="2" width="8" style="13" customWidth="1"/>
    <col min="3" max="3" width="16" style="13" customWidth="1"/>
    <col min="4" max="4" width="10" style="13" customWidth="1"/>
    <col min="5" max="5" width="18" style="13" customWidth="1"/>
    <col min="6" max="6" width="28" style="13" customWidth="1"/>
    <col min="7" max="7" width="38" style="13" customWidth="1"/>
    <col min="8" max="8" width="20" style="13" customWidth="1"/>
    <col min="9" max="9" width="18" style="13" customWidth="1"/>
    <col min="10" max="10" width="22" style="13" customWidth="1"/>
    <col min="11" max="11" width="12" style="13" customWidth="1"/>
    <col min="12" max="12" width="34" style="13" customWidth="1"/>
    <col min="13" max="13" width="9" style="13" customWidth="1"/>
    <col min="14" max="14" width="11" style="13" customWidth="1"/>
    <col min="15" max="15" width="8.83203125" style="13"/>
    <col min="16" max="16" width="9" style="13" customWidth="1"/>
    <col min="17" max="17" width="11" style="13" customWidth="1"/>
    <col min="18" max="16384" width="8.83203125" style="13"/>
  </cols>
  <sheetData>
    <row r="1" spans="1:18" ht="14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</row>
    <row r="2" spans="1:18" ht="32" customHeight="1">
      <c r="A2" s="10" t="s">
        <v>18</v>
      </c>
      <c r="B2" s="10">
        <v>2003</v>
      </c>
      <c r="C2" s="10" t="s">
        <v>19</v>
      </c>
      <c r="D2" s="10" t="s">
        <v>20</v>
      </c>
      <c r="E2" s="10" t="s">
        <v>21</v>
      </c>
      <c r="F2" s="10" t="s">
        <v>22</v>
      </c>
      <c r="G2" s="10" t="s">
        <v>23</v>
      </c>
      <c r="H2" s="10" t="s">
        <v>24</v>
      </c>
      <c r="I2" s="10" t="s">
        <v>25</v>
      </c>
      <c r="J2" s="10" t="s">
        <v>26</v>
      </c>
      <c r="K2" s="10" t="s">
        <v>85</v>
      </c>
      <c r="L2" s="10" t="s">
        <v>86</v>
      </c>
      <c r="M2" s="11">
        <v>23</v>
      </c>
      <c r="N2" s="12">
        <v>5.52</v>
      </c>
      <c r="O2" s="12">
        <v>5.0999999999999996</v>
      </c>
      <c r="P2" s="11">
        <v>13</v>
      </c>
      <c r="Q2" s="12">
        <v>5.94</v>
      </c>
      <c r="R2" s="12">
        <v>3.85</v>
      </c>
    </row>
    <row r="3" spans="1:18" ht="32" customHeight="1">
      <c r="A3" s="10" t="s">
        <v>29</v>
      </c>
      <c r="B3" s="10">
        <v>2008</v>
      </c>
      <c r="C3" s="10" t="s">
        <v>30</v>
      </c>
      <c r="D3" s="10" t="s">
        <v>31</v>
      </c>
      <c r="E3" s="10" t="s">
        <v>32</v>
      </c>
      <c r="F3" s="10" t="s">
        <v>33</v>
      </c>
      <c r="G3" s="10" t="s">
        <v>34</v>
      </c>
      <c r="H3" s="10" t="s">
        <v>87</v>
      </c>
      <c r="I3" s="10" t="s">
        <v>36</v>
      </c>
      <c r="J3" s="10" t="s">
        <v>26</v>
      </c>
      <c r="K3" s="10" t="s">
        <v>85</v>
      </c>
      <c r="L3" s="10" t="s">
        <v>86</v>
      </c>
      <c r="M3" s="11">
        <v>15</v>
      </c>
      <c r="N3" s="12">
        <v>4.7</v>
      </c>
      <c r="O3" s="12">
        <v>5.8</v>
      </c>
      <c r="P3" s="11">
        <v>21</v>
      </c>
      <c r="Q3" s="12">
        <v>3.9</v>
      </c>
      <c r="R3" s="12">
        <v>5</v>
      </c>
    </row>
    <row r="4" spans="1:18" ht="32" customHeight="1">
      <c r="A4" s="10" t="s">
        <v>29</v>
      </c>
      <c r="B4" s="10">
        <v>2008</v>
      </c>
      <c r="C4" s="10" t="s">
        <v>30</v>
      </c>
      <c r="D4" s="10" t="s">
        <v>31</v>
      </c>
      <c r="E4" s="10" t="s">
        <v>32</v>
      </c>
      <c r="F4" s="10" t="s">
        <v>33</v>
      </c>
      <c r="G4" s="10" t="s">
        <v>34</v>
      </c>
      <c r="H4" s="10" t="s">
        <v>35</v>
      </c>
      <c r="I4" s="10" t="s">
        <v>36</v>
      </c>
      <c r="J4" s="10" t="s">
        <v>26</v>
      </c>
      <c r="K4" s="10" t="s">
        <v>85</v>
      </c>
      <c r="L4" s="10" t="s">
        <v>86</v>
      </c>
      <c r="M4" s="11">
        <v>10</v>
      </c>
      <c r="N4" s="12">
        <v>19</v>
      </c>
      <c r="O4" s="12">
        <v>20</v>
      </c>
      <c r="P4" s="11">
        <v>21</v>
      </c>
      <c r="Q4" s="12">
        <v>35</v>
      </c>
      <c r="R4" s="12">
        <v>52</v>
      </c>
    </row>
    <row r="5" spans="1:18" ht="32" customHeight="1">
      <c r="A5" s="10" t="s">
        <v>37</v>
      </c>
      <c r="B5" s="10">
        <v>2012</v>
      </c>
      <c r="C5" s="10" t="s">
        <v>38</v>
      </c>
      <c r="D5" s="10" t="s">
        <v>20</v>
      </c>
      <c r="E5" s="10" t="s">
        <v>21</v>
      </c>
      <c r="F5" s="10" t="s">
        <v>39</v>
      </c>
      <c r="G5" s="10" t="s">
        <v>40</v>
      </c>
      <c r="H5" s="10" t="s">
        <v>41</v>
      </c>
      <c r="I5" s="10" t="s">
        <v>36</v>
      </c>
      <c r="J5" s="10" t="s">
        <v>42</v>
      </c>
      <c r="K5" s="10" t="s">
        <v>85</v>
      </c>
      <c r="L5" s="10" t="s">
        <v>86</v>
      </c>
      <c r="M5" s="11">
        <v>82</v>
      </c>
      <c r="N5" s="12">
        <v>0.61</v>
      </c>
      <c r="O5" s="12">
        <v>1.01</v>
      </c>
      <c r="P5" s="11">
        <v>82</v>
      </c>
      <c r="Q5" s="12">
        <v>1.01</v>
      </c>
      <c r="R5" s="12">
        <v>2.06</v>
      </c>
    </row>
    <row r="6" spans="1:18" ht="32" customHeight="1">
      <c r="A6" s="10" t="s">
        <v>37</v>
      </c>
      <c r="B6" s="10">
        <v>2012</v>
      </c>
      <c r="C6" s="10" t="s">
        <v>38</v>
      </c>
      <c r="D6" s="10" t="s">
        <v>20</v>
      </c>
      <c r="E6" s="10" t="s">
        <v>21</v>
      </c>
      <c r="F6" s="10" t="s">
        <v>39</v>
      </c>
      <c r="G6" s="10" t="s">
        <v>40</v>
      </c>
      <c r="H6" s="10" t="s">
        <v>43</v>
      </c>
      <c r="I6" s="10" t="s">
        <v>36</v>
      </c>
      <c r="J6" s="10" t="s">
        <v>42</v>
      </c>
      <c r="K6" s="10" t="s">
        <v>85</v>
      </c>
      <c r="L6" s="10" t="s">
        <v>86</v>
      </c>
      <c r="M6" s="11">
        <v>58</v>
      </c>
      <c r="N6" s="12">
        <v>4.05</v>
      </c>
      <c r="O6" s="12">
        <v>4.29</v>
      </c>
      <c r="P6" s="11">
        <v>64</v>
      </c>
      <c r="Q6" s="12">
        <v>5.03</v>
      </c>
      <c r="R6" s="12">
        <v>6.4</v>
      </c>
    </row>
  </sheetData>
  <autoFilter ref="A1:R6" xr:uid="{00000000-0009-0000-0000-000006000000}"/>
  <phoneticPr fontId="5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5"/>
  <sheetViews>
    <sheetView workbookViewId="0">
      <selection activeCell="A4" sqref="A4:XFD4"/>
    </sheetView>
  </sheetViews>
  <sheetFormatPr baseColWidth="10" defaultColWidth="8.83203125" defaultRowHeight="15"/>
  <cols>
    <col min="1" max="1" width="14" style="13" customWidth="1"/>
    <col min="2" max="2" width="8" style="13" customWidth="1"/>
    <col min="3" max="3" width="16" style="13" customWidth="1"/>
    <col min="4" max="4" width="10" style="13" customWidth="1"/>
    <col min="5" max="5" width="18" style="13" customWidth="1"/>
    <col min="6" max="6" width="28" style="13" customWidth="1"/>
    <col min="7" max="7" width="38" style="13" customWidth="1"/>
    <col min="8" max="8" width="20" style="13" customWidth="1"/>
    <col min="9" max="9" width="18" style="13" customWidth="1"/>
    <col min="10" max="10" width="22" style="13" customWidth="1"/>
    <col min="11" max="11" width="12" style="13" customWidth="1"/>
    <col min="12" max="12" width="34" style="13" customWidth="1"/>
    <col min="13" max="13" width="9" style="13" customWidth="1"/>
    <col min="14" max="14" width="11" style="13" customWidth="1"/>
    <col min="15" max="15" width="8.83203125" style="13"/>
    <col min="16" max="16" width="9" style="13" customWidth="1"/>
    <col min="17" max="17" width="11" style="13" customWidth="1"/>
    <col min="18" max="18" width="8.83203125" style="13"/>
    <col min="19" max="19" width="52" style="13" customWidth="1"/>
    <col min="20" max="16384" width="8.83203125" style="13"/>
  </cols>
  <sheetData>
    <row r="1" spans="1:19" ht="14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88</v>
      </c>
    </row>
    <row r="2" spans="1:19" ht="32" customHeight="1">
      <c r="A2" s="10" t="s">
        <v>18</v>
      </c>
      <c r="B2" s="10">
        <v>2003</v>
      </c>
      <c r="C2" s="10" t="s">
        <v>19</v>
      </c>
      <c r="D2" s="10" t="s">
        <v>20</v>
      </c>
      <c r="E2" s="10" t="s">
        <v>21</v>
      </c>
      <c r="F2" s="10" t="s">
        <v>22</v>
      </c>
      <c r="G2" s="10" t="s">
        <v>23</v>
      </c>
      <c r="H2" s="10" t="s">
        <v>24</v>
      </c>
      <c r="I2" s="10" t="s">
        <v>25</v>
      </c>
      <c r="J2" s="10" t="s">
        <v>26</v>
      </c>
      <c r="K2" s="10" t="s">
        <v>89</v>
      </c>
      <c r="L2" s="10" t="s">
        <v>90</v>
      </c>
      <c r="M2" s="11">
        <v>27</v>
      </c>
      <c r="N2" s="12">
        <v>6.2162962962963002</v>
      </c>
      <c r="O2" s="12">
        <v>5.5559321368094396</v>
      </c>
      <c r="P2" s="11">
        <v>13</v>
      </c>
      <c r="Q2" s="12">
        <v>5.94</v>
      </c>
      <c r="R2" s="12">
        <v>3.85</v>
      </c>
      <c r="S2" s="10"/>
    </row>
    <row r="3" spans="1:19" ht="32" customHeight="1">
      <c r="A3" s="10" t="s">
        <v>29</v>
      </c>
      <c r="B3" s="10">
        <v>2008</v>
      </c>
      <c r="C3" s="10" t="s">
        <v>30</v>
      </c>
      <c r="D3" s="10" t="s">
        <v>31</v>
      </c>
      <c r="E3" s="10" t="s">
        <v>32</v>
      </c>
      <c r="F3" s="10" t="s">
        <v>33</v>
      </c>
      <c r="G3" s="10" t="s">
        <v>34</v>
      </c>
      <c r="H3" s="10" t="s">
        <v>35</v>
      </c>
      <c r="I3" s="10" t="s">
        <v>36</v>
      </c>
      <c r="J3" s="10" t="s">
        <v>26</v>
      </c>
      <c r="K3" s="10" t="s">
        <v>89</v>
      </c>
      <c r="L3" s="10" t="s">
        <v>90</v>
      </c>
      <c r="M3" s="11">
        <v>12</v>
      </c>
      <c r="N3" s="12">
        <v>17.366666666666699</v>
      </c>
      <c r="O3" s="12">
        <v>18.499328407138201</v>
      </c>
      <c r="P3" s="11">
        <v>21</v>
      </c>
      <c r="Q3" s="12">
        <v>35</v>
      </c>
      <c r="R3" s="12">
        <v>52</v>
      </c>
      <c r="S3" s="10" t="s">
        <v>91</v>
      </c>
    </row>
    <row r="4" spans="1:19" ht="32" customHeight="1">
      <c r="A4" s="10" t="s">
        <v>37</v>
      </c>
      <c r="B4" s="10">
        <v>2012</v>
      </c>
      <c r="C4" s="10" t="s">
        <v>38</v>
      </c>
      <c r="D4" s="10" t="s">
        <v>20</v>
      </c>
      <c r="E4" s="10" t="s">
        <v>21</v>
      </c>
      <c r="F4" s="10" t="s">
        <v>39</v>
      </c>
      <c r="G4" s="10" t="s">
        <v>40</v>
      </c>
      <c r="H4" s="10" t="s">
        <v>41</v>
      </c>
      <c r="I4" s="10" t="s">
        <v>36</v>
      </c>
      <c r="J4" s="10" t="s">
        <v>42</v>
      </c>
      <c r="K4" s="10" t="s">
        <v>89</v>
      </c>
      <c r="L4" s="10" t="s">
        <v>90</v>
      </c>
      <c r="M4" s="11">
        <v>105</v>
      </c>
      <c r="N4" s="12">
        <v>0.64285714285714302</v>
      </c>
      <c r="O4" s="12">
        <v>1.02681472964259</v>
      </c>
      <c r="P4" s="11">
        <v>82</v>
      </c>
      <c r="Q4" s="12">
        <v>1.01</v>
      </c>
      <c r="R4" s="12">
        <v>2.06</v>
      </c>
      <c r="S4" s="10" t="s">
        <v>92</v>
      </c>
    </row>
    <row r="5" spans="1:19" ht="32" customHeight="1">
      <c r="A5" s="10" t="s">
        <v>37</v>
      </c>
      <c r="B5" s="10">
        <v>2012</v>
      </c>
      <c r="C5" s="10" t="s">
        <v>38</v>
      </c>
      <c r="D5" s="10" t="s">
        <v>20</v>
      </c>
      <c r="E5" s="10" t="s">
        <v>21</v>
      </c>
      <c r="F5" s="10" t="s">
        <v>39</v>
      </c>
      <c r="G5" s="10" t="s">
        <v>40</v>
      </c>
      <c r="H5" s="10" t="s">
        <v>43</v>
      </c>
      <c r="I5" s="10" t="s">
        <v>36</v>
      </c>
      <c r="J5" s="10" t="s">
        <v>42</v>
      </c>
      <c r="K5" s="10" t="s">
        <v>89</v>
      </c>
      <c r="L5" s="10" t="s">
        <v>90</v>
      </c>
      <c r="M5" s="11">
        <v>64</v>
      </c>
      <c r="N5" s="12">
        <v>3.9206249999999998</v>
      </c>
      <c r="O5" s="12">
        <v>4.1701307029114902</v>
      </c>
      <c r="P5" s="11">
        <v>64</v>
      </c>
      <c r="Q5" s="12">
        <v>5.03</v>
      </c>
      <c r="R5" s="12">
        <v>6.4</v>
      </c>
      <c r="S5" s="10" t="s">
        <v>92</v>
      </c>
    </row>
  </sheetData>
  <autoFilter ref="A1:S5" xr:uid="{00000000-0009-0000-0000-000007000000}"/>
  <phoneticPr fontId="5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5"/>
  <sheetViews>
    <sheetView workbookViewId="0">
      <selection activeCell="A4" sqref="A4:XFD4"/>
    </sheetView>
  </sheetViews>
  <sheetFormatPr baseColWidth="10" defaultColWidth="8.83203125" defaultRowHeight="14"/>
  <cols>
    <col min="1" max="1" width="14" customWidth="1"/>
    <col min="2" max="2" width="8" customWidth="1"/>
    <col min="3" max="3" width="16" customWidth="1"/>
    <col min="4" max="4" width="10" customWidth="1"/>
    <col min="5" max="5" width="18" customWidth="1"/>
    <col min="6" max="6" width="28" customWidth="1"/>
    <col min="7" max="7" width="38" customWidth="1"/>
    <col min="8" max="8" width="20" customWidth="1"/>
    <col min="9" max="9" width="18" customWidth="1"/>
    <col min="10" max="10" width="22" customWidth="1"/>
    <col min="11" max="11" width="12" customWidth="1"/>
    <col min="12" max="12" width="34" customWidth="1"/>
    <col min="13" max="13" width="9" customWidth="1"/>
    <col min="14" max="14" width="11" customWidth="1"/>
    <col min="16" max="16" width="9" customWidth="1"/>
    <col min="17" max="17" width="11" customWidth="1"/>
    <col min="19" max="19" width="52" customWidth="1"/>
  </cols>
  <sheetData>
    <row r="1" spans="1:19" ht="14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88</v>
      </c>
    </row>
    <row r="2" spans="1:19" ht="32" customHeight="1">
      <c r="A2" s="10" t="s">
        <v>18</v>
      </c>
      <c r="B2" s="10">
        <v>2003</v>
      </c>
      <c r="C2" s="10" t="s">
        <v>19</v>
      </c>
      <c r="D2" s="10" t="s">
        <v>20</v>
      </c>
      <c r="E2" s="10" t="s">
        <v>21</v>
      </c>
      <c r="F2" s="10" t="s">
        <v>22</v>
      </c>
      <c r="G2" s="10" t="s">
        <v>23</v>
      </c>
      <c r="H2" s="10" t="s">
        <v>24</v>
      </c>
      <c r="I2" s="10" t="s">
        <v>25</v>
      </c>
      <c r="J2" s="10" t="s">
        <v>26</v>
      </c>
      <c r="K2" s="10" t="s">
        <v>93</v>
      </c>
      <c r="L2" s="10" t="s">
        <v>94</v>
      </c>
      <c r="M2" s="11">
        <v>4</v>
      </c>
      <c r="N2" s="12">
        <v>10.220000000000001</v>
      </c>
      <c r="O2" s="12">
        <v>7.19</v>
      </c>
      <c r="P2" s="11">
        <v>36</v>
      </c>
      <c r="Q2" s="12">
        <v>5.6716666666666704</v>
      </c>
      <c r="R2" s="12">
        <v>4.63389715651339</v>
      </c>
      <c r="S2" s="10"/>
    </row>
    <row r="3" spans="1:19" ht="32" customHeight="1">
      <c r="A3" s="10" t="s">
        <v>29</v>
      </c>
      <c r="B3" s="10">
        <v>2008</v>
      </c>
      <c r="C3" s="10" t="s">
        <v>30</v>
      </c>
      <c r="D3" s="10" t="s">
        <v>31</v>
      </c>
      <c r="E3" s="10" t="s">
        <v>32</v>
      </c>
      <c r="F3" s="10" t="s">
        <v>33</v>
      </c>
      <c r="G3" s="10" t="s">
        <v>34</v>
      </c>
      <c r="H3" s="10" t="s">
        <v>35</v>
      </c>
      <c r="I3" s="10" t="s">
        <v>36</v>
      </c>
      <c r="J3" s="10" t="s">
        <v>26</v>
      </c>
      <c r="K3" s="10" t="s">
        <v>93</v>
      </c>
      <c r="L3" s="10" t="s">
        <v>94</v>
      </c>
      <c r="M3" s="11">
        <v>2</v>
      </c>
      <c r="N3" s="12">
        <v>9.1999999999999993</v>
      </c>
      <c r="O3" s="12">
        <v>2.1</v>
      </c>
      <c r="P3" s="11">
        <v>31</v>
      </c>
      <c r="Q3" s="12">
        <v>29.838709677419399</v>
      </c>
      <c r="R3" s="12">
        <v>44.502506876349898</v>
      </c>
      <c r="S3" s="10" t="s">
        <v>91</v>
      </c>
    </row>
    <row r="4" spans="1:19" ht="32" customHeight="1">
      <c r="A4" s="10" t="s">
        <v>37</v>
      </c>
      <c r="B4" s="10">
        <v>2012</v>
      </c>
      <c r="C4" s="10" t="s">
        <v>38</v>
      </c>
      <c r="D4" s="10" t="s">
        <v>20</v>
      </c>
      <c r="E4" s="10" t="s">
        <v>21</v>
      </c>
      <c r="F4" s="10" t="s">
        <v>39</v>
      </c>
      <c r="G4" s="10" t="s">
        <v>40</v>
      </c>
      <c r="H4" s="10" t="s">
        <v>41</v>
      </c>
      <c r="I4" s="10" t="s">
        <v>36</v>
      </c>
      <c r="J4" s="10" t="s">
        <v>42</v>
      </c>
      <c r="K4" s="10" t="s">
        <v>93</v>
      </c>
      <c r="L4" s="10" t="s">
        <v>94</v>
      </c>
      <c r="M4" s="11">
        <v>23</v>
      </c>
      <c r="N4" s="12">
        <v>0.76</v>
      </c>
      <c r="O4" s="12">
        <v>1.1000000000000001</v>
      </c>
      <c r="P4" s="11">
        <v>164</v>
      </c>
      <c r="Q4" s="12">
        <v>0.81</v>
      </c>
      <c r="R4" s="12">
        <v>1.6297082805688301</v>
      </c>
      <c r="S4" s="10" t="s">
        <v>92</v>
      </c>
    </row>
    <row r="5" spans="1:19" ht="32" customHeight="1">
      <c r="A5" s="10" t="s">
        <v>37</v>
      </c>
      <c r="B5" s="10">
        <v>2012</v>
      </c>
      <c r="C5" s="10" t="s">
        <v>38</v>
      </c>
      <c r="D5" s="10" t="s">
        <v>20</v>
      </c>
      <c r="E5" s="10" t="s">
        <v>21</v>
      </c>
      <c r="F5" s="10" t="s">
        <v>39</v>
      </c>
      <c r="G5" s="10" t="s">
        <v>40</v>
      </c>
      <c r="H5" s="10" t="s">
        <v>43</v>
      </c>
      <c r="I5" s="10" t="s">
        <v>36</v>
      </c>
      <c r="J5" s="10" t="s">
        <v>42</v>
      </c>
      <c r="K5" s="10" t="s">
        <v>93</v>
      </c>
      <c r="L5" s="10" t="s">
        <v>94</v>
      </c>
      <c r="M5" s="11">
        <v>6</v>
      </c>
      <c r="N5" s="12">
        <v>2.67</v>
      </c>
      <c r="O5" s="12">
        <v>2.69</v>
      </c>
      <c r="P5" s="11">
        <v>122</v>
      </c>
      <c r="Q5" s="12">
        <v>4.5640983606557404</v>
      </c>
      <c r="R5" s="12">
        <v>5.4988616784603899</v>
      </c>
      <c r="S5" s="10" t="s">
        <v>92</v>
      </c>
    </row>
  </sheetData>
  <autoFilter ref="A1:S5" xr:uid="{00000000-0009-0000-0000-000008000000}"/>
  <phoneticPr fontId="5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5"/>
  <sheetViews>
    <sheetView workbookViewId="0">
      <selection activeCell="A4" sqref="A4:XFD4"/>
    </sheetView>
  </sheetViews>
  <sheetFormatPr baseColWidth="10" defaultColWidth="8.83203125" defaultRowHeight="14"/>
  <cols>
    <col min="1" max="1" width="14" customWidth="1"/>
    <col min="2" max="2" width="8" customWidth="1"/>
    <col min="3" max="3" width="16" customWidth="1"/>
    <col min="4" max="4" width="10" customWidth="1"/>
    <col min="5" max="5" width="18" customWidth="1"/>
    <col min="6" max="6" width="28" customWidth="1"/>
    <col min="7" max="7" width="38" customWidth="1"/>
    <col min="8" max="8" width="20" customWidth="1"/>
    <col min="9" max="9" width="18" customWidth="1"/>
    <col min="10" max="10" width="22" customWidth="1"/>
    <col min="11" max="11" width="12" customWidth="1"/>
    <col min="12" max="12" width="34" customWidth="1"/>
    <col min="13" max="13" width="9" customWidth="1"/>
    <col min="14" max="14" width="11" customWidth="1"/>
    <col min="15" max="15" width="9.5" bestFit="1" customWidth="1"/>
    <col min="16" max="16" width="9" customWidth="1"/>
    <col min="17" max="17" width="11" customWidth="1"/>
    <col min="18" max="18" width="10.5" bestFit="1" customWidth="1"/>
    <col min="19" max="19" width="52" customWidth="1"/>
  </cols>
  <sheetData>
    <row r="1" spans="1:19" ht="14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88</v>
      </c>
    </row>
    <row r="2" spans="1:19" ht="32" customHeight="1">
      <c r="A2" s="10" t="s">
        <v>18</v>
      </c>
      <c r="B2" s="10">
        <v>2003</v>
      </c>
      <c r="C2" s="10" t="s">
        <v>19</v>
      </c>
      <c r="D2" s="10" t="s">
        <v>20</v>
      </c>
      <c r="E2" s="10" t="s">
        <v>21</v>
      </c>
      <c r="F2" s="10" t="s">
        <v>22</v>
      </c>
      <c r="G2" s="10" t="s">
        <v>23</v>
      </c>
      <c r="H2" s="10" t="s">
        <v>24</v>
      </c>
      <c r="I2" s="10" t="s">
        <v>25</v>
      </c>
      <c r="J2" s="10" t="s">
        <v>26</v>
      </c>
      <c r="K2" s="10" t="s">
        <v>27</v>
      </c>
      <c r="L2" s="10" t="s">
        <v>28</v>
      </c>
      <c r="M2" s="11">
        <v>4</v>
      </c>
      <c r="N2" s="12">
        <v>173</v>
      </c>
      <c r="O2" s="12">
        <v>172</v>
      </c>
      <c r="P2" s="11">
        <v>13</v>
      </c>
      <c r="Q2" s="12">
        <v>136</v>
      </c>
      <c r="R2" s="12">
        <v>89</v>
      </c>
      <c r="S2" s="10"/>
    </row>
    <row r="3" spans="1:19" ht="32" customHeight="1">
      <c r="A3" s="10" t="s">
        <v>29</v>
      </c>
      <c r="B3" s="10">
        <v>2008</v>
      </c>
      <c r="C3" s="10" t="s">
        <v>30</v>
      </c>
      <c r="D3" s="10" t="s">
        <v>31</v>
      </c>
      <c r="E3" s="10" t="s">
        <v>32</v>
      </c>
      <c r="F3" s="10" t="s">
        <v>33</v>
      </c>
      <c r="G3" s="10" t="s">
        <v>34</v>
      </c>
      <c r="H3" s="10" t="s">
        <v>35</v>
      </c>
      <c r="I3" s="10" t="s">
        <v>36</v>
      </c>
      <c r="J3" s="10" t="s">
        <v>26</v>
      </c>
      <c r="K3" s="10" t="s">
        <v>27</v>
      </c>
      <c r="L3" s="10" t="s">
        <v>28</v>
      </c>
      <c r="M3" s="11">
        <v>2</v>
      </c>
      <c r="N3" s="12">
        <v>3800</v>
      </c>
      <c r="O3" s="12">
        <v>2200</v>
      </c>
      <c r="P3" s="11">
        <v>21</v>
      </c>
      <c r="Q3" s="12">
        <v>13000</v>
      </c>
      <c r="R3" s="12">
        <v>19000</v>
      </c>
      <c r="S3" s="10" t="s">
        <v>91</v>
      </c>
    </row>
    <row r="4" spans="1:19" ht="32" customHeight="1">
      <c r="A4" s="10" t="s">
        <v>37</v>
      </c>
      <c r="B4" s="10">
        <v>2012</v>
      </c>
      <c r="C4" s="10" t="s">
        <v>38</v>
      </c>
      <c r="D4" s="10" t="s">
        <v>20</v>
      </c>
      <c r="E4" s="10" t="s">
        <v>21</v>
      </c>
      <c r="F4" s="10" t="s">
        <v>39</v>
      </c>
      <c r="G4" s="10" t="s">
        <v>40</v>
      </c>
      <c r="H4" s="10" t="s">
        <v>41</v>
      </c>
      <c r="I4" s="10" t="s">
        <v>36</v>
      </c>
      <c r="J4" s="10" t="s">
        <v>42</v>
      </c>
      <c r="K4" s="10" t="s">
        <v>27</v>
      </c>
      <c r="L4" s="10" t="s">
        <v>28</v>
      </c>
      <c r="M4" s="11">
        <v>23</v>
      </c>
      <c r="N4" s="12">
        <v>47.7</v>
      </c>
      <c r="O4" s="12">
        <v>37.04</v>
      </c>
      <c r="P4" s="11">
        <v>82</v>
      </c>
      <c r="Q4" s="12">
        <v>65.52</v>
      </c>
      <c r="R4" s="12">
        <v>67.849999999999994</v>
      </c>
      <c r="S4" s="10" t="s">
        <v>92</v>
      </c>
    </row>
    <row r="5" spans="1:19" ht="32" customHeight="1">
      <c r="A5" s="10" t="s">
        <v>37</v>
      </c>
      <c r="B5" s="10">
        <v>2012</v>
      </c>
      <c r="C5" s="10" t="s">
        <v>38</v>
      </c>
      <c r="D5" s="10" t="s">
        <v>20</v>
      </c>
      <c r="E5" s="10" t="s">
        <v>21</v>
      </c>
      <c r="F5" s="10" t="s">
        <v>39</v>
      </c>
      <c r="G5" s="10" t="s">
        <v>40</v>
      </c>
      <c r="H5" s="10" t="s">
        <v>43</v>
      </c>
      <c r="I5" s="10" t="s">
        <v>36</v>
      </c>
      <c r="J5" s="10" t="s">
        <v>42</v>
      </c>
      <c r="K5" s="10" t="s">
        <v>27</v>
      </c>
      <c r="L5" s="10" t="s">
        <v>28</v>
      </c>
      <c r="M5" s="11">
        <v>6</v>
      </c>
      <c r="N5" s="12">
        <v>81.19</v>
      </c>
      <c r="O5" s="12">
        <v>47.4</v>
      </c>
      <c r="P5" s="11">
        <v>64</v>
      </c>
      <c r="Q5" s="12">
        <v>167.18</v>
      </c>
      <c r="R5" s="12">
        <v>196.6</v>
      </c>
      <c r="S5" s="10" t="s">
        <v>92</v>
      </c>
    </row>
  </sheetData>
  <autoFilter ref="A1:S5" xr:uid="{00000000-0009-0000-0000-000009000000}"/>
  <phoneticPr fontId="5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6"/>
  <sheetViews>
    <sheetView workbookViewId="0">
      <selection activeCell="A5" sqref="A5:XFD5"/>
    </sheetView>
  </sheetViews>
  <sheetFormatPr baseColWidth="10" defaultColWidth="8.83203125" defaultRowHeight="14"/>
  <cols>
    <col min="1" max="1" width="14" customWidth="1"/>
    <col min="2" max="2" width="8" customWidth="1"/>
    <col min="3" max="3" width="16" customWidth="1"/>
    <col min="4" max="4" width="10" customWidth="1"/>
    <col min="5" max="5" width="18" customWidth="1"/>
    <col min="6" max="6" width="28" customWidth="1"/>
    <col min="7" max="7" width="38" customWidth="1"/>
    <col min="8" max="8" width="20" customWidth="1"/>
    <col min="9" max="9" width="18" customWidth="1"/>
    <col min="10" max="10" width="22" customWidth="1"/>
    <col min="11" max="11" width="12" customWidth="1"/>
    <col min="12" max="12" width="34" customWidth="1"/>
    <col min="13" max="13" width="9" customWidth="1"/>
    <col min="14" max="14" width="11" customWidth="1"/>
    <col min="15" max="15" width="9.5" bestFit="1" customWidth="1"/>
    <col min="16" max="16" width="9" customWidth="1"/>
    <col min="17" max="17" width="11" customWidth="1"/>
    <col min="18" max="18" width="10.5" bestFit="1" customWidth="1"/>
  </cols>
  <sheetData>
    <row r="1" spans="1:18" ht="14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</row>
    <row r="2" spans="1:18" ht="32" customHeight="1">
      <c r="A2" s="10" t="s">
        <v>18</v>
      </c>
      <c r="B2" s="10">
        <v>2003</v>
      </c>
      <c r="C2" s="10" t="s">
        <v>19</v>
      </c>
      <c r="D2" s="10" t="s">
        <v>20</v>
      </c>
      <c r="E2" s="10" t="s">
        <v>21</v>
      </c>
      <c r="F2" s="10" t="s">
        <v>22</v>
      </c>
      <c r="G2" s="10" t="s">
        <v>23</v>
      </c>
      <c r="H2" s="10" t="s">
        <v>24</v>
      </c>
      <c r="I2" s="10" t="s">
        <v>25</v>
      </c>
      <c r="J2" s="10" t="s">
        <v>26</v>
      </c>
      <c r="K2" s="10" t="s">
        <v>85</v>
      </c>
      <c r="L2" s="10" t="s">
        <v>86</v>
      </c>
      <c r="M2" s="11">
        <v>23</v>
      </c>
      <c r="N2" s="12">
        <v>105</v>
      </c>
      <c r="O2" s="12">
        <v>86</v>
      </c>
      <c r="P2" s="11">
        <v>13</v>
      </c>
      <c r="Q2" s="12">
        <v>136</v>
      </c>
      <c r="R2" s="12">
        <v>89</v>
      </c>
    </row>
    <row r="3" spans="1:18" ht="32" customHeight="1">
      <c r="A3" s="10" t="s">
        <v>29</v>
      </c>
      <c r="B3" s="10">
        <v>2008</v>
      </c>
      <c r="C3" s="10" t="s">
        <v>30</v>
      </c>
      <c r="D3" s="10" t="s">
        <v>31</v>
      </c>
      <c r="E3" s="10" t="s">
        <v>32</v>
      </c>
      <c r="F3" s="10" t="s">
        <v>33</v>
      </c>
      <c r="G3" s="10" t="s">
        <v>34</v>
      </c>
      <c r="H3" s="10" t="s">
        <v>87</v>
      </c>
      <c r="I3" s="10" t="s">
        <v>36</v>
      </c>
      <c r="J3" s="10" t="s">
        <v>26</v>
      </c>
      <c r="K3" s="10" t="s">
        <v>85</v>
      </c>
      <c r="L3" s="10" t="s">
        <v>86</v>
      </c>
      <c r="M3" s="11">
        <v>15</v>
      </c>
      <c r="N3" s="12">
        <v>710</v>
      </c>
      <c r="O3" s="12">
        <v>420</v>
      </c>
      <c r="P3" s="11">
        <v>21</v>
      </c>
      <c r="Q3" s="12">
        <v>510</v>
      </c>
      <c r="R3" s="12">
        <v>520</v>
      </c>
    </row>
    <row r="4" spans="1:18" ht="32" customHeight="1">
      <c r="A4" s="10" t="s">
        <v>29</v>
      </c>
      <c r="B4" s="10">
        <v>2008</v>
      </c>
      <c r="C4" s="10" t="s">
        <v>30</v>
      </c>
      <c r="D4" s="10" t="s">
        <v>31</v>
      </c>
      <c r="E4" s="10" t="s">
        <v>32</v>
      </c>
      <c r="F4" s="10" t="s">
        <v>33</v>
      </c>
      <c r="G4" s="10" t="s">
        <v>34</v>
      </c>
      <c r="H4" s="10" t="s">
        <v>35</v>
      </c>
      <c r="I4" s="10" t="s">
        <v>36</v>
      </c>
      <c r="J4" s="10" t="s">
        <v>26</v>
      </c>
      <c r="K4" s="10" t="s">
        <v>85</v>
      </c>
      <c r="L4" s="10" t="s">
        <v>86</v>
      </c>
      <c r="M4" s="11">
        <v>10</v>
      </c>
      <c r="N4" s="12">
        <v>6100</v>
      </c>
      <c r="O4" s="12">
        <v>7000</v>
      </c>
      <c r="P4" s="11">
        <v>21</v>
      </c>
      <c r="Q4" s="12">
        <v>13000</v>
      </c>
      <c r="R4" s="12">
        <v>19000</v>
      </c>
    </row>
    <row r="5" spans="1:18" ht="32" customHeight="1">
      <c r="A5" s="10" t="s">
        <v>37</v>
      </c>
      <c r="B5" s="10">
        <v>2012</v>
      </c>
      <c r="C5" s="10" t="s">
        <v>38</v>
      </c>
      <c r="D5" s="10" t="s">
        <v>20</v>
      </c>
      <c r="E5" s="10" t="s">
        <v>21</v>
      </c>
      <c r="F5" s="10" t="s">
        <v>39</v>
      </c>
      <c r="G5" s="10" t="s">
        <v>40</v>
      </c>
      <c r="H5" s="10" t="s">
        <v>41</v>
      </c>
      <c r="I5" s="10" t="s">
        <v>36</v>
      </c>
      <c r="J5" s="10" t="s">
        <v>42</v>
      </c>
      <c r="K5" s="10" t="s">
        <v>85</v>
      </c>
      <c r="L5" s="10" t="s">
        <v>86</v>
      </c>
      <c r="M5" s="11">
        <v>82</v>
      </c>
      <c r="N5" s="12">
        <v>60.65</v>
      </c>
      <c r="O5" s="12">
        <v>68.150000000000006</v>
      </c>
      <c r="P5" s="11">
        <v>82</v>
      </c>
      <c r="Q5" s="12">
        <v>65.52</v>
      </c>
      <c r="R5" s="12">
        <v>67.849999999999994</v>
      </c>
    </row>
    <row r="6" spans="1:18" ht="32" customHeight="1">
      <c r="A6" s="10" t="s">
        <v>37</v>
      </c>
      <c r="B6" s="10">
        <v>2012</v>
      </c>
      <c r="C6" s="10" t="s">
        <v>38</v>
      </c>
      <c r="D6" s="10" t="s">
        <v>20</v>
      </c>
      <c r="E6" s="10" t="s">
        <v>21</v>
      </c>
      <c r="F6" s="10" t="s">
        <v>39</v>
      </c>
      <c r="G6" s="10" t="s">
        <v>40</v>
      </c>
      <c r="H6" s="10" t="s">
        <v>43</v>
      </c>
      <c r="I6" s="10" t="s">
        <v>36</v>
      </c>
      <c r="J6" s="10" t="s">
        <v>42</v>
      </c>
      <c r="K6" s="10" t="s">
        <v>85</v>
      </c>
      <c r="L6" s="10" t="s">
        <v>86</v>
      </c>
      <c r="M6" s="11">
        <v>58</v>
      </c>
      <c r="N6" s="12">
        <v>134.06</v>
      </c>
      <c r="O6" s="12">
        <v>118.77</v>
      </c>
      <c r="P6" s="11">
        <v>64</v>
      </c>
      <c r="Q6" s="12">
        <v>167.18</v>
      </c>
      <c r="R6" s="12">
        <v>196.6</v>
      </c>
    </row>
  </sheetData>
  <autoFilter ref="A1:R6" xr:uid="{00000000-0009-0000-0000-00000A000000}"/>
  <phoneticPr fontId="5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5"/>
  <sheetViews>
    <sheetView topLeftCell="F1" workbookViewId="0">
      <selection activeCell="A4" sqref="A4:XFD4"/>
    </sheetView>
  </sheetViews>
  <sheetFormatPr baseColWidth="10" defaultColWidth="8.83203125" defaultRowHeight="14"/>
  <cols>
    <col min="1" max="1" width="14" customWidth="1"/>
    <col min="2" max="2" width="8" customWidth="1"/>
    <col min="3" max="3" width="16" customWidth="1"/>
    <col min="4" max="4" width="10" customWidth="1"/>
    <col min="5" max="5" width="18" customWidth="1"/>
    <col min="6" max="6" width="28" customWidth="1"/>
    <col min="7" max="7" width="38" customWidth="1"/>
    <col min="8" max="8" width="20" customWidth="1"/>
    <col min="9" max="9" width="18" customWidth="1"/>
    <col min="10" max="10" width="22" customWidth="1"/>
    <col min="11" max="11" width="12" customWidth="1"/>
    <col min="12" max="12" width="34" customWidth="1"/>
    <col min="13" max="13" width="9" customWidth="1"/>
    <col min="14" max="14" width="11" customWidth="1"/>
    <col min="15" max="15" width="9.5" bestFit="1" customWidth="1"/>
    <col min="16" max="16" width="9" customWidth="1"/>
    <col min="17" max="17" width="11" customWidth="1"/>
    <col min="18" max="18" width="10.5" bestFit="1" customWidth="1"/>
  </cols>
  <sheetData>
    <row r="1" spans="1:18" ht="14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</row>
    <row r="2" spans="1:18" ht="32" customHeight="1">
      <c r="A2" s="10" t="s">
        <v>18</v>
      </c>
      <c r="B2" s="10">
        <v>2003</v>
      </c>
      <c r="C2" s="10" t="s">
        <v>19</v>
      </c>
      <c r="D2" s="10" t="s">
        <v>20</v>
      </c>
      <c r="E2" s="10" t="s">
        <v>21</v>
      </c>
      <c r="F2" s="10" t="s">
        <v>22</v>
      </c>
      <c r="G2" s="10" t="s">
        <v>23</v>
      </c>
      <c r="H2" s="10" t="s">
        <v>24</v>
      </c>
      <c r="I2" s="10" t="s">
        <v>25</v>
      </c>
      <c r="J2" s="10" t="s">
        <v>26</v>
      </c>
      <c r="K2" s="10" t="s">
        <v>89</v>
      </c>
      <c r="L2" s="10" t="s">
        <v>90</v>
      </c>
      <c r="M2" s="11">
        <v>27</v>
      </c>
      <c r="N2" s="12">
        <v>115.07407407407401</v>
      </c>
      <c r="O2" s="12">
        <v>101.37892586571699</v>
      </c>
      <c r="P2" s="11">
        <v>13</v>
      </c>
      <c r="Q2" s="12">
        <v>136</v>
      </c>
      <c r="R2" s="12">
        <v>89</v>
      </c>
    </row>
    <row r="3" spans="1:18" ht="32" customHeight="1">
      <c r="A3" s="10" t="s">
        <v>29</v>
      </c>
      <c r="B3" s="10">
        <v>2008</v>
      </c>
      <c r="C3" s="10" t="s">
        <v>30</v>
      </c>
      <c r="D3" s="10" t="s">
        <v>31</v>
      </c>
      <c r="E3" s="10" t="s">
        <v>32</v>
      </c>
      <c r="F3" s="10" t="s">
        <v>33</v>
      </c>
      <c r="G3" s="10" t="s">
        <v>34</v>
      </c>
      <c r="H3" s="10" t="s">
        <v>35</v>
      </c>
      <c r="I3" s="10" t="s">
        <v>36</v>
      </c>
      <c r="J3" s="10" t="s">
        <v>26</v>
      </c>
      <c r="K3" s="10" t="s">
        <v>89</v>
      </c>
      <c r="L3" s="10" t="s">
        <v>90</v>
      </c>
      <c r="M3" s="11">
        <v>12</v>
      </c>
      <c r="N3" s="12">
        <v>5716.6666666666697</v>
      </c>
      <c r="O3" s="12">
        <v>6429.0298056879701</v>
      </c>
      <c r="P3" s="11">
        <v>21</v>
      </c>
      <c r="Q3" s="12">
        <v>13000</v>
      </c>
      <c r="R3" s="12">
        <v>19000</v>
      </c>
    </row>
    <row r="4" spans="1:18" ht="32" customHeight="1">
      <c r="A4" s="10" t="s">
        <v>37</v>
      </c>
      <c r="B4" s="10">
        <v>2012</v>
      </c>
      <c r="C4" s="10" t="s">
        <v>38</v>
      </c>
      <c r="D4" s="10" t="s">
        <v>20</v>
      </c>
      <c r="E4" s="10" t="s">
        <v>21</v>
      </c>
      <c r="F4" s="10" t="s">
        <v>39</v>
      </c>
      <c r="G4" s="10" t="s">
        <v>40</v>
      </c>
      <c r="H4" s="10" t="s">
        <v>41</v>
      </c>
      <c r="I4" s="10" t="s">
        <v>36</v>
      </c>
      <c r="J4" s="10" t="s">
        <v>42</v>
      </c>
      <c r="K4" s="10" t="s">
        <v>89</v>
      </c>
      <c r="L4" s="10" t="s">
        <v>90</v>
      </c>
      <c r="M4" s="11">
        <v>105</v>
      </c>
      <c r="N4" s="12">
        <v>57.813333333333297</v>
      </c>
      <c r="O4" s="12">
        <v>62.741351996275299</v>
      </c>
      <c r="P4" s="11">
        <v>82</v>
      </c>
      <c r="Q4" s="12">
        <v>65.52</v>
      </c>
      <c r="R4" s="12">
        <v>67.849999999999994</v>
      </c>
    </row>
    <row r="5" spans="1:18" ht="32" customHeight="1">
      <c r="A5" s="10" t="s">
        <v>37</v>
      </c>
      <c r="B5" s="10">
        <v>2012</v>
      </c>
      <c r="C5" s="10" t="s">
        <v>38</v>
      </c>
      <c r="D5" s="10" t="s">
        <v>20</v>
      </c>
      <c r="E5" s="10" t="s">
        <v>21</v>
      </c>
      <c r="F5" s="10" t="s">
        <v>39</v>
      </c>
      <c r="G5" s="10" t="s">
        <v>40</v>
      </c>
      <c r="H5" s="10" t="s">
        <v>43</v>
      </c>
      <c r="I5" s="10" t="s">
        <v>36</v>
      </c>
      <c r="J5" s="10" t="s">
        <v>42</v>
      </c>
      <c r="K5" s="10" t="s">
        <v>89</v>
      </c>
      <c r="L5" s="10" t="s">
        <v>90</v>
      </c>
      <c r="M5" s="11">
        <v>64</v>
      </c>
      <c r="N5" s="12">
        <v>129.10343750000001</v>
      </c>
      <c r="O5" s="12">
        <v>114.814739385061</v>
      </c>
      <c r="P5" s="11">
        <v>64</v>
      </c>
      <c r="Q5" s="12">
        <v>167.18</v>
      </c>
      <c r="R5" s="12">
        <v>196.6</v>
      </c>
    </row>
  </sheetData>
  <autoFilter ref="A1:R5" xr:uid="{00000000-0009-0000-0000-00000B000000}"/>
  <phoneticPr fontId="5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5"/>
  <sheetViews>
    <sheetView tabSelected="1" topLeftCell="J1" workbookViewId="0">
      <selection activeCell="A4" sqref="A4:XFD4"/>
    </sheetView>
  </sheetViews>
  <sheetFormatPr baseColWidth="10" defaultColWidth="8.83203125" defaultRowHeight="14"/>
  <cols>
    <col min="1" max="1" width="14" customWidth="1"/>
    <col min="2" max="2" width="8" customWidth="1"/>
    <col min="3" max="3" width="16" customWidth="1"/>
    <col min="4" max="4" width="10" customWidth="1"/>
    <col min="5" max="5" width="18" customWidth="1"/>
    <col min="6" max="6" width="28" customWidth="1"/>
    <col min="7" max="7" width="38" customWidth="1"/>
    <col min="8" max="8" width="20" customWidth="1"/>
    <col min="9" max="9" width="18" customWidth="1"/>
    <col min="10" max="10" width="22" customWidth="1"/>
    <col min="11" max="11" width="12" customWidth="1"/>
    <col min="12" max="12" width="34" customWidth="1"/>
    <col min="13" max="13" width="9" customWidth="1"/>
    <col min="14" max="14" width="11" customWidth="1"/>
    <col min="15" max="15" width="9.5" bestFit="1" customWidth="1"/>
    <col min="16" max="16" width="9" customWidth="1"/>
    <col min="17" max="17" width="11" customWidth="1"/>
    <col min="18" max="18" width="10.5" bestFit="1" customWidth="1"/>
  </cols>
  <sheetData>
    <row r="1" spans="1:18" ht="14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</row>
    <row r="2" spans="1:18" ht="32" customHeight="1">
      <c r="A2" s="10" t="s">
        <v>18</v>
      </c>
      <c r="B2" s="10">
        <v>2003</v>
      </c>
      <c r="C2" s="10" t="s">
        <v>19</v>
      </c>
      <c r="D2" s="10" t="s">
        <v>20</v>
      </c>
      <c r="E2" s="10" t="s">
        <v>21</v>
      </c>
      <c r="F2" s="10" t="s">
        <v>22</v>
      </c>
      <c r="G2" s="10" t="s">
        <v>23</v>
      </c>
      <c r="H2" s="10" t="s">
        <v>24</v>
      </c>
      <c r="I2" s="10" t="s">
        <v>25</v>
      </c>
      <c r="J2" s="10" t="s">
        <v>26</v>
      </c>
      <c r="K2" s="10" t="s">
        <v>93</v>
      </c>
      <c r="L2" s="10" t="s">
        <v>94</v>
      </c>
      <c r="M2" s="11">
        <v>4</v>
      </c>
      <c r="N2" s="12">
        <v>173</v>
      </c>
      <c r="O2" s="12">
        <v>172</v>
      </c>
      <c r="P2" s="11">
        <v>36</v>
      </c>
      <c r="Q2" s="12">
        <v>116.194444444444</v>
      </c>
      <c r="R2" s="12">
        <v>87.136287158006297</v>
      </c>
    </row>
    <row r="3" spans="1:18" ht="32" customHeight="1">
      <c r="A3" s="10" t="s">
        <v>29</v>
      </c>
      <c r="B3" s="10">
        <v>2008</v>
      </c>
      <c r="C3" s="10" t="s">
        <v>30</v>
      </c>
      <c r="D3" s="10" t="s">
        <v>31</v>
      </c>
      <c r="E3" s="10" t="s">
        <v>32</v>
      </c>
      <c r="F3" s="10" t="s">
        <v>33</v>
      </c>
      <c r="G3" s="10" t="s">
        <v>34</v>
      </c>
      <c r="H3" s="10" t="s">
        <v>35</v>
      </c>
      <c r="I3" s="10" t="s">
        <v>36</v>
      </c>
      <c r="J3" s="10" t="s">
        <v>26</v>
      </c>
      <c r="K3" s="10" t="s">
        <v>93</v>
      </c>
      <c r="L3" s="10" t="s">
        <v>94</v>
      </c>
      <c r="M3" s="11">
        <v>2</v>
      </c>
      <c r="N3" s="12">
        <v>3800</v>
      </c>
      <c r="O3" s="12">
        <v>2200</v>
      </c>
      <c r="P3" s="11">
        <v>31</v>
      </c>
      <c r="Q3" s="12">
        <v>10774.1935483871</v>
      </c>
      <c r="R3" s="12">
        <v>16313.1024586973</v>
      </c>
    </row>
    <row r="4" spans="1:18" ht="32" customHeight="1">
      <c r="A4" s="10" t="s">
        <v>37</v>
      </c>
      <c r="B4" s="10">
        <v>2012</v>
      </c>
      <c r="C4" s="10" t="s">
        <v>38</v>
      </c>
      <c r="D4" s="10" t="s">
        <v>20</v>
      </c>
      <c r="E4" s="10" t="s">
        <v>21</v>
      </c>
      <c r="F4" s="10" t="s">
        <v>39</v>
      </c>
      <c r="G4" s="10" t="s">
        <v>40</v>
      </c>
      <c r="H4" s="10" t="s">
        <v>41</v>
      </c>
      <c r="I4" s="10" t="s">
        <v>36</v>
      </c>
      <c r="J4" s="10" t="s">
        <v>42</v>
      </c>
      <c r="K4" s="10" t="s">
        <v>93</v>
      </c>
      <c r="L4" s="10" t="s">
        <v>94</v>
      </c>
      <c r="M4" s="11">
        <v>23</v>
      </c>
      <c r="N4" s="12">
        <v>47.7</v>
      </c>
      <c r="O4" s="12">
        <v>37.04</v>
      </c>
      <c r="P4" s="11">
        <v>164</v>
      </c>
      <c r="Q4" s="12">
        <v>63.085000000000001</v>
      </c>
      <c r="R4" s="12">
        <v>67.835240579046996</v>
      </c>
    </row>
    <row r="5" spans="1:18" ht="32" customHeight="1">
      <c r="A5" s="10" t="s">
        <v>37</v>
      </c>
      <c r="B5" s="10">
        <v>2012</v>
      </c>
      <c r="C5" s="10" t="s">
        <v>38</v>
      </c>
      <c r="D5" s="10" t="s">
        <v>20</v>
      </c>
      <c r="E5" s="10" t="s">
        <v>21</v>
      </c>
      <c r="F5" s="10" t="s">
        <v>39</v>
      </c>
      <c r="G5" s="10" t="s">
        <v>40</v>
      </c>
      <c r="H5" s="10" t="s">
        <v>43</v>
      </c>
      <c r="I5" s="10" t="s">
        <v>36</v>
      </c>
      <c r="J5" s="10" t="s">
        <v>42</v>
      </c>
      <c r="K5" s="10" t="s">
        <v>93</v>
      </c>
      <c r="L5" s="10" t="s">
        <v>94</v>
      </c>
      <c r="M5" s="11">
        <v>6</v>
      </c>
      <c r="N5" s="12">
        <v>81.19</v>
      </c>
      <c r="O5" s="12">
        <v>47.4</v>
      </c>
      <c r="P5" s="11">
        <v>122</v>
      </c>
      <c r="Q5" s="12">
        <v>151.43442622950801</v>
      </c>
      <c r="R5" s="12">
        <v>164.45461312400801</v>
      </c>
    </row>
  </sheetData>
  <autoFilter ref="A1:R5" xr:uid="{00000000-0009-0000-0000-00000C000000}"/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GSTM1_SPMA</vt:lpstr>
      <vt:lpstr>GSTM1_ttMA</vt:lpstr>
      <vt:lpstr>GSTT1_SPMA</vt:lpstr>
      <vt:lpstr>GSTT1_ttMA</vt:lpstr>
      <vt:lpstr>GSTP1_SPMA_homo</vt:lpstr>
      <vt:lpstr>GSTP1_SPMA_heter</vt:lpstr>
      <vt:lpstr>GSTP1_SPMA_dominant</vt:lpstr>
      <vt:lpstr>GSTP1_SPMA_recessive</vt:lpstr>
      <vt:lpstr>GSTP1_ttMA_homo</vt:lpstr>
      <vt:lpstr>GSTP1_ttMA_heter</vt:lpstr>
      <vt:lpstr>GSTP1_ttMA_dominant</vt:lpstr>
      <vt:lpstr>GSTP1_ttMA_recessive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小印 郭</cp:lastModifiedBy>
  <dcterms:created xsi:type="dcterms:W3CDTF">2026-08-06T06:00:00Z</dcterms:created>
  <dcterms:modified xsi:type="dcterms:W3CDTF">2026-09-27T15:51:01Z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1224CC8F58954F10AFB15E5F57E1257F_13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